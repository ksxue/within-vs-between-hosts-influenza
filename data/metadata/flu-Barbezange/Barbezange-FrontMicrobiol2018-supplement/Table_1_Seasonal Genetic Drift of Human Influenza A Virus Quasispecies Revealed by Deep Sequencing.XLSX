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rticles\deep-seq-version2018\submission files\"/>
    </mc:Choice>
  </mc:AlternateContent>
  <bookViews>
    <workbookView xWindow="9195" yWindow="45" windowWidth="9255" windowHeight="10305" tabRatio="500"/>
  </bookViews>
  <sheets>
    <sheet name="Legend" sheetId="11" r:id="rId1"/>
    <sheet name="SH1N1-samples" sheetId="5" r:id="rId2"/>
    <sheet name="sH1N1-run-data" sheetId="2" r:id="rId3"/>
    <sheet name="sH1N1-values" sheetId="8" r:id="rId4"/>
    <sheet name="sH3N2-samples" sheetId="6" r:id="rId5"/>
    <sheet name="sH3N2-run-data" sheetId="3" r:id="rId6"/>
    <sheet name="sH3N2-values" sheetId="9" r:id="rId7"/>
    <sheet name="pH1N1-samples" sheetId="7" r:id="rId8"/>
    <sheet name="pH1N1-run-data" sheetId="4" r:id="rId9"/>
    <sheet name="pH1N1-values" sheetId="10" r:id="rId10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3" i="4" l="1"/>
  <c r="G13" i="4"/>
  <c r="T13" i="4"/>
  <c r="F13" i="4"/>
  <c r="S13" i="4"/>
  <c r="H88" i="2"/>
  <c r="G88" i="2"/>
  <c r="T88" i="2"/>
  <c r="F88" i="2"/>
  <c r="S88" i="2"/>
  <c r="H85" i="2"/>
  <c r="G85" i="2"/>
  <c r="T85" i="2"/>
  <c r="F85" i="2"/>
  <c r="S85" i="2"/>
  <c r="T82" i="2"/>
  <c r="S82" i="2"/>
  <c r="T79" i="2"/>
  <c r="S79" i="2"/>
  <c r="T76" i="2"/>
  <c r="S76" i="2"/>
  <c r="T73" i="2"/>
  <c r="S73" i="2"/>
  <c r="T70" i="2"/>
  <c r="S70" i="2"/>
  <c r="T67" i="2"/>
  <c r="S67" i="2"/>
  <c r="T64" i="2"/>
  <c r="S64" i="2"/>
  <c r="T61" i="2"/>
  <c r="S61" i="2"/>
  <c r="T56" i="2"/>
  <c r="S56" i="2"/>
  <c r="T53" i="2"/>
  <c r="S53" i="2"/>
  <c r="T50" i="2"/>
  <c r="S50" i="2"/>
  <c r="T47" i="2"/>
  <c r="S47" i="2"/>
  <c r="T44" i="2"/>
  <c r="S44" i="2"/>
  <c r="T41" i="2"/>
  <c r="S41" i="2"/>
  <c r="T38" i="2"/>
  <c r="S38" i="2"/>
  <c r="T35" i="2"/>
  <c r="S35" i="2"/>
  <c r="T32" i="2"/>
  <c r="S32" i="2"/>
  <c r="T29" i="2"/>
  <c r="S29" i="2"/>
  <c r="T26" i="2"/>
  <c r="S26" i="2"/>
  <c r="T23" i="2"/>
  <c r="S23" i="2"/>
  <c r="T20" i="2"/>
  <c r="S20" i="2"/>
  <c r="T17" i="2"/>
  <c r="S17" i="2"/>
  <c r="T14" i="2"/>
  <c r="S14" i="2"/>
  <c r="T14" i="3"/>
  <c r="S14" i="3"/>
  <c r="T17" i="3"/>
  <c r="S17" i="3"/>
  <c r="T20" i="3"/>
  <c r="S20" i="3"/>
  <c r="T23" i="3"/>
  <c r="S23" i="3"/>
  <c r="H26" i="3"/>
  <c r="G26" i="3"/>
  <c r="T26" i="3"/>
  <c r="F26" i="3"/>
  <c r="S26" i="3"/>
  <c r="T29" i="3"/>
  <c r="S29" i="3"/>
  <c r="H32" i="3"/>
  <c r="G32" i="3"/>
  <c r="T32" i="3"/>
  <c r="F32" i="3"/>
  <c r="S32" i="3"/>
  <c r="H35" i="3"/>
  <c r="G35" i="3"/>
  <c r="T35" i="3"/>
  <c r="F35" i="3"/>
  <c r="S35" i="3"/>
  <c r="T38" i="3"/>
  <c r="S38" i="3"/>
  <c r="T41" i="3"/>
  <c r="S41" i="3"/>
  <c r="T44" i="3"/>
  <c r="S44" i="3"/>
  <c r="T47" i="3"/>
  <c r="S47" i="3"/>
  <c r="H50" i="3"/>
  <c r="G50" i="3"/>
  <c r="T50" i="3"/>
  <c r="F50" i="3"/>
  <c r="S50" i="3"/>
  <c r="T53" i="3"/>
  <c r="S53" i="3"/>
  <c r="T56" i="3"/>
  <c r="S56" i="3"/>
  <c r="T59" i="3"/>
  <c r="S59" i="3"/>
  <c r="T62" i="3"/>
  <c r="S62" i="3"/>
  <c r="T65" i="3"/>
  <c r="S65" i="3"/>
  <c r="T68" i="3"/>
  <c r="S68" i="3"/>
  <c r="T71" i="3"/>
  <c r="S71" i="3"/>
  <c r="T74" i="3"/>
  <c r="S74" i="3"/>
  <c r="T77" i="3"/>
  <c r="S77" i="3"/>
  <c r="T80" i="3"/>
  <c r="S80" i="3"/>
  <c r="T83" i="3"/>
  <c r="S83" i="3"/>
  <c r="T86" i="3"/>
  <c r="S86" i="3"/>
  <c r="H89" i="3"/>
  <c r="G89" i="3"/>
  <c r="T89" i="3"/>
  <c r="F89" i="3"/>
  <c r="S89" i="3"/>
  <c r="T92" i="3"/>
  <c r="S92" i="3"/>
  <c r="T95" i="3"/>
  <c r="S95" i="3"/>
  <c r="T98" i="3"/>
  <c r="S98" i="3"/>
  <c r="T101" i="3"/>
  <c r="S101" i="3"/>
  <c r="T104" i="3"/>
  <c r="S104" i="3"/>
  <c r="T107" i="3"/>
  <c r="S107" i="3"/>
  <c r="T110" i="3"/>
  <c r="S110" i="3"/>
  <c r="T113" i="3"/>
  <c r="S113" i="3"/>
  <c r="T116" i="3"/>
  <c r="S116" i="3"/>
  <c r="T106" i="4"/>
  <c r="S106" i="4"/>
  <c r="H103" i="4"/>
  <c r="G103" i="4"/>
  <c r="T103" i="4"/>
  <c r="F103" i="4"/>
  <c r="S103" i="4"/>
  <c r="T100" i="4"/>
  <c r="S100" i="4"/>
  <c r="H95" i="4"/>
  <c r="G95" i="4"/>
  <c r="T95" i="4"/>
  <c r="F95" i="4"/>
  <c r="S95" i="4"/>
  <c r="T92" i="4"/>
  <c r="S92" i="4"/>
  <c r="T89" i="4"/>
  <c r="S89" i="4"/>
  <c r="T86" i="4"/>
  <c r="S86" i="4"/>
  <c r="T83" i="4"/>
  <c r="S83" i="4"/>
  <c r="T80" i="4"/>
  <c r="S80" i="4"/>
  <c r="T77" i="4"/>
  <c r="S77" i="4"/>
  <c r="T74" i="4"/>
  <c r="S74" i="4"/>
  <c r="T71" i="4"/>
  <c r="S71" i="4"/>
  <c r="T68" i="4"/>
  <c r="S68" i="4"/>
  <c r="T65" i="4"/>
  <c r="S65" i="4"/>
  <c r="T62" i="4"/>
  <c r="S62" i="4"/>
  <c r="T59" i="4"/>
  <c r="S59" i="4"/>
  <c r="T56" i="4"/>
  <c r="S56" i="4"/>
  <c r="T53" i="4"/>
  <c r="S53" i="4"/>
  <c r="T49" i="4"/>
  <c r="S49" i="4"/>
  <c r="H45" i="4"/>
  <c r="G45" i="4"/>
  <c r="T45" i="4"/>
  <c r="F45" i="4"/>
  <c r="S45" i="4"/>
  <c r="T42" i="4"/>
  <c r="S42" i="4"/>
  <c r="T38" i="4"/>
  <c r="S38" i="4"/>
  <c r="T33" i="4"/>
  <c r="S33" i="4"/>
  <c r="T28" i="4"/>
  <c r="S28" i="4"/>
  <c r="T25" i="4"/>
  <c r="S25" i="4"/>
  <c r="T21" i="4"/>
  <c r="S21" i="4"/>
  <c r="T18" i="4"/>
  <c r="S18" i="4"/>
  <c r="T15" i="4"/>
  <c r="S15" i="4"/>
  <c r="V13" i="4"/>
  <c r="U13" i="4"/>
  <c r="F31" i="4"/>
  <c r="V31" i="4"/>
  <c r="H31" i="4"/>
  <c r="U31" i="4"/>
  <c r="G31" i="4"/>
  <c r="T31" i="4"/>
  <c r="S31" i="4"/>
  <c r="F30" i="4"/>
  <c r="V30" i="4"/>
  <c r="H30" i="4"/>
  <c r="U30" i="4"/>
  <c r="G30" i="4"/>
  <c r="T30" i="4"/>
  <c r="S30" i="4"/>
  <c r="F23" i="4"/>
  <c r="V23" i="4"/>
  <c r="H23" i="4"/>
  <c r="U23" i="4"/>
  <c r="G23" i="4"/>
  <c r="T23" i="4"/>
  <c r="S23" i="4"/>
  <c r="F35" i="4"/>
  <c r="V35" i="4"/>
  <c r="H35" i="4"/>
  <c r="U35" i="4"/>
  <c r="G35" i="4"/>
  <c r="T35" i="4"/>
  <c r="S35" i="4"/>
  <c r="F36" i="4"/>
  <c r="V36" i="4"/>
  <c r="H36" i="4"/>
  <c r="U36" i="4"/>
  <c r="G36" i="4"/>
  <c r="T36" i="4"/>
  <c r="S36" i="4"/>
  <c r="F47" i="4"/>
  <c r="V47" i="4"/>
  <c r="H47" i="4"/>
  <c r="U47" i="4"/>
  <c r="G47" i="4"/>
  <c r="T47" i="4"/>
  <c r="S47" i="4"/>
  <c r="F51" i="4"/>
  <c r="V51" i="4"/>
  <c r="H51" i="4"/>
  <c r="U51" i="4"/>
  <c r="G51" i="4"/>
  <c r="T51" i="4"/>
  <c r="S51" i="4"/>
  <c r="F98" i="4"/>
  <c r="V98" i="4"/>
  <c r="H98" i="4"/>
  <c r="U98" i="4"/>
  <c r="G98" i="4"/>
  <c r="T98" i="4"/>
  <c r="S98" i="4"/>
  <c r="F97" i="4"/>
  <c r="V97" i="4"/>
  <c r="H97" i="4"/>
  <c r="U97" i="4"/>
  <c r="G97" i="4"/>
  <c r="T97" i="4"/>
  <c r="S97" i="4"/>
  <c r="F59" i="2"/>
  <c r="V59" i="2"/>
  <c r="H59" i="2"/>
  <c r="U59" i="2"/>
  <c r="F58" i="2"/>
  <c r="V58" i="2"/>
  <c r="H58" i="2"/>
  <c r="U58" i="2"/>
  <c r="G59" i="2"/>
  <c r="T59" i="2"/>
  <c r="S59" i="2"/>
  <c r="G58" i="2"/>
  <c r="T58" i="2"/>
  <c r="S58" i="2"/>
  <c r="H18" i="2"/>
  <c r="U18" i="2"/>
  <c r="V89" i="2"/>
  <c r="U89" i="2"/>
  <c r="T87" i="2"/>
  <c r="S87" i="2"/>
  <c r="V86" i="2"/>
  <c r="U86" i="2"/>
  <c r="T84" i="2"/>
  <c r="S84" i="2"/>
  <c r="V83" i="2"/>
  <c r="U83" i="2"/>
  <c r="T81" i="2"/>
  <c r="S81" i="2"/>
  <c r="V80" i="2"/>
  <c r="U80" i="2"/>
  <c r="T78" i="2"/>
  <c r="S78" i="2"/>
  <c r="V77" i="2"/>
  <c r="U77" i="2"/>
  <c r="T75" i="2"/>
  <c r="S75" i="2"/>
  <c r="F72" i="2"/>
  <c r="V74" i="2"/>
  <c r="U74" i="2"/>
  <c r="H72" i="2"/>
  <c r="G72" i="2"/>
  <c r="T72" i="2"/>
  <c r="S72" i="2"/>
  <c r="V71" i="2"/>
  <c r="U71" i="2"/>
  <c r="T69" i="2"/>
  <c r="S69" i="2"/>
  <c r="V68" i="2"/>
  <c r="U68" i="2"/>
  <c r="T66" i="2"/>
  <c r="S66" i="2"/>
  <c r="V65" i="2"/>
  <c r="U65" i="2"/>
  <c r="T63" i="2"/>
  <c r="S63" i="2"/>
  <c r="V62" i="2"/>
  <c r="U62" i="2"/>
  <c r="T60" i="2"/>
  <c r="S60" i="2"/>
  <c r="V57" i="2"/>
  <c r="U57" i="2"/>
  <c r="T55" i="2"/>
  <c r="S55" i="2"/>
  <c r="V54" i="2"/>
  <c r="U54" i="2"/>
  <c r="T52" i="2"/>
  <c r="S52" i="2"/>
  <c r="V51" i="2"/>
  <c r="U51" i="2"/>
  <c r="T49" i="2"/>
  <c r="S49" i="2"/>
  <c r="V48" i="2"/>
  <c r="U48" i="2"/>
  <c r="T46" i="2"/>
  <c r="S46" i="2"/>
  <c r="V45" i="2"/>
  <c r="U45" i="2"/>
  <c r="T43" i="2"/>
  <c r="S43" i="2"/>
  <c r="V42" i="2"/>
  <c r="U42" i="2"/>
  <c r="T40" i="2"/>
  <c r="S40" i="2"/>
  <c r="V39" i="2"/>
  <c r="U39" i="2"/>
  <c r="T37" i="2"/>
  <c r="S37" i="2"/>
  <c r="V36" i="2"/>
  <c r="U36" i="2"/>
  <c r="T34" i="2"/>
  <c r="S34" i="2"/>
  <c r="V33" i="2"/>
  <c r="U33" i="2"/>
  <c r="T31" i="2"/>
  <c r="S31" i="2"/>
  <c r="V30" i="2"/>
  <c r="U30" i="2"/>
  <c r="T28" i="2"/>
  <c r="S28" i="2"/>
  <c r="V27" i="2"/>
  <c r="U27" i="2"/>
  <c r="T25" i="2"/>
  <c r="S25" i="2"/>
  <c r="V24" i="2"/>
  <c r="U24" i="2"/>
  <c r="T22" i="2"/>
  <c r="S22" i="2"/>
  <c r="F19" i="2"/>
  <c r="V21" i="2"/>
  <c r="U21" i="2"/>
  <c r="H19" i="2"/>
  <c r="G19" i="2"/>
  <c r="T19" i="2"/>
  <c r="S19" i="2"/>
  <c r="V18" i="2"/>
  <c r="T16" i="2"/>
  <c r="S16" i="2"/>
  <c r="V15" i="2"/>
  <c r="U15" i="2"/>
  <c r="T13" i="2"/>
  <c r="S13" i="2"/>
  <c r="V107" i="4"/>
  <c r="U107" i="4"/>
  <c r="T105" i="4"/>
  <c r="S105" i="4"/>
  <c r="V104" i="4"/>
  <c r="U104" i="4"/>
  <c r="T102" i="4"/>
  <c r="S102" i="4"/>
  <c r="V101" i="4"/>
  <c r="U101" i="4"/>
  <c r="T99" i="4"/>
  <c r="S99" i="4"/>
  <c r="V96" i="4"/>
  <c r="U96" i="4"/>
  <c r="T94" i="4"/>
  <c r="S94" i="4"/>
  <c r="V93" i="4"/>
  <c r="U93" i="4"/>
  <c r="T91" i="4"/>
  <c r="S91" i="4"/>
  <c r="V90" i="4"/>
  <c r="U90" i="4"/>
  <c r="T88" i="4"/>
  <c r="S88" i="4"/>
  <c r="V87" i="4"/>
  <c r="U87" i="4"/>
  <c r="T85" i="4"/>
  <c r="S85" i="4"/>
  <c r="F82" i="4"/>
  <c r="V84" i="4"/>
  <c r="U84" i="4"/>
  <c r="H82" i="4"/>
  <c r="G82" i="4"/>
  <c r="T82" i="4"/>
  <c r="S82" i="4"/>
  <c r="V81" i="4"/>
  <c r="U81" i="4"/>
  <c r="T79" i="4"/>
  <c r="S79" i="4"/>
  <c r="V78" i="4"/>
  <c r="U78" i="4"/>
  <c r="T76" i="4"/>
  <c r="S76" i="4"/>
  <c r="V75" i="4"/>
  <c r="U75" i="4"/>
  <c r="T73" i="4"/>
  <c r="S73" i="4"/>
  <c r="V72" i="4"/>
  <c r="U72" i="4"/>
  <c r="T70" i="4"/>
  <c r="S70" i="4"/>
  <c r="V69" i="4"/>
  <c r="U69" i="4"/>
  <c r="T67" i="4"/>
  <c r="S67" i="4"/>
  <c r="F64" i="4"/>
  <c r="V66" i="4"/>
  <c r="U66" i="4"/>
  <c r="H64" i="4"/>
  <c r="G64" i="4"/>
  <c r="T64" i="4"/>
  <c r="S64" i="4"/>
  <c r="V63" i="4"/>
  <c r="U63" i="4"/>
  <c r="T61" i="4"/>
  <c r="S61" i="4"/>
  <c r="V60" i="4"/>
  <c r="U60" i="4"/>
  <c r="T58" i="4"/>
  <c r="S58" i="4"/>
  <c r="V57" i="4"/>
  <c r="U57" i="4"/>
  <c r="T55" i="4"/>
  <c r="S55" i="4"/>
  <c r="V54" i="4"/>
  <c r="U54" i="4"/>
  <c r="T52" i="4"/>
  <c r="S52" i="4"/>
  <c r="V50" i="4"/>
  <c r="U50" i="4"/>
  <c r="T48" i="4"/>
  <c r="S48" i="4"/>
  <c r="V46" i="4"/>
  <c r="U46" i="4"/>
  <c r="T44" i="4"/>
  <c r="S44" i="4"/>
  <c r="V43" i="4"/>
  <c r="U43" i="4"/>
  <c r="T41" i="4"/>
  <c r="S41" i="4"/>
  <c r="V39" i="4"/>
  <c r="U39" i="4"/>
  <c r="T37" i="4"/>
  <c r="S37" i="4"/>
  <c r="V34" i="4"/>
  <c r="U34" i="4"/>
  <c r="T32" i="4"/>
  <c r="S32" i="4"/>
  <c r="V29" i="4"/>
  <c r="U29" i="4"/>
  <c r="T27" i="4"/>
  <c r="S27" i="4"/>
  <c r="V26" i="4"/>
  <c r="U26" i="4"/>
  <c r="T24" i="4"/>
  <c r="S24" i="4"/>
  <c r="V22" i="4"/>
  <c r="U22" i="4"/>
  <c r="T20" i="4"/>
  <c r="S20" i="4"/>
  <c r="V19" i="4"/>
  <c r="U19" i="4"/>
  <c r="T17" i="4"/>
  <c r="S17" i="4"/>
  <c r="V16" i="4"/>
  <c r="U16" i="4"/>
  <c r="T14" i="4"/>
  <c r="S14" i="4"/>
  <c r="V117" i="3"/>
  <c r="U117" i="3"/>
  <c r="T115" i="3"/>
  <c r="S115" i="3"/>
  <c r="V114" i="3"/>
  <c r="U114" i="3"/>
  <c r="T112" i="3"/>
  <c r="S112" i="3"/>
  <c r="V111" i="3"/>
  <c r="U111" i="3"/>
  <c r="T109" i="3"/>
  <c r="S109" i="3"/>
  <c r="V108" i="3"/>
  <c r="U108" i="3"/>
  <c r="T106" i="3"/>
  <c r="S106" i="3"/>
  <c r="V105" i="3"/>
  <c r="U105" i="3"/>
  <c r="T103" i="3"/>
  <c r="S103" i="3"/>
  <c r="V102" i="3"/>
  <c r="U102" i="3"/>
  <c r="T100" i="3"/>
  <c r="S100" i="3"/>
  <c r="V99" i="3"/>
  <c r="U99" i="3"/>
  <c r="T97" i="3"/>
  <c r="S97" i="3"/>
  <c r="V96" i="3"/>
  <c r="U96" i="3"/>
  <c r="T94" i="3"/>
  <c r="S94" i="3"/>
  <c r="V93" i="3"/>
  <c r="U93" i="3"/>
  <c r="T91" i="3"/>
  <c r="S91" i="3"/>
  <c r="V90" i="3"/>
  <c r="U90" i="3"/>
  <c r="T88" i="3"/>
  <c r="S88" i="3"/>
  <c r="V87" i="3"/>
  <c r="U87" i="3"/>
  <c r="T85" i="3"/>
  <c r="S85" i="3"/>
  <c r="V84" i="3"/>
  <c r="U84" i="3"/>
  <c r="T82" i="3"/>
  <c r="S82" i="3"/>
  <c r="V81" i="3"/>
  <c r="U81" i="3"/>
  <c r="T79" i="3"/>
  <c r="S79" i="3"/>
  <c r="V78" i="3"/>
  <c r="U78" i="3"/>
  <c r="T76" i="3"/>
  <c r="S76" i="3"/>
  <c r="V75" i="3"/>
  <c r="U75" i="3"/>
  <c r="T73" i="3"/>
  <c r="S73" i="3"/>
  <c r="V72" i="3"/>
  <c r="U72" i="3"/>
  <c r="T70" i="3"/>
  <c r="S70" i="3"/>
  <c r="V69" i="3"/>
  <c r="U69" i="3"/>
  <c r="T67" i="3"/>
  <c r="S67" i="3"/>
  <c r="V66" i="3"/>
  <c r="U66" i="3"/>
  <c r="T64" i="3"/>
  <c r="S64" i="3"/>
  <c r="V63" i="3"/>
  <c r="U63" i="3"/>
  <c r="T61" i="3"/>
  <c r="S61" i="3"/>
  <c r="V60" i="3"/>
  <c r="U60" i="3"/>
  <c r="T58" i="3"/>
  <c r="S58" i="3"/>
  <c r="V57" i="3"/>
  <c r="U57" i="3"/>
  <c r="T55" i="3"/>
  <c r="S55" i="3"/>
  <c r="V54" i="3"/>
  <c r="U54" i="3"/>
  <c r="T52" i="3"/>
  <c r="S52" i="3"/>
  <c r="V51" i="3"/>
  <c r="U51" i="3"/>
  <c r="T49" i="3"/>
  <c r="S49" i="3"/>
  <c r="V48" i="3"/>
  <c r="U48" i="3"/>
  <c r="T46" i="3"/>
  <c r="S46" i="3"/>
  <c r="V45" i="3"/>
  <c r="U45" i="3"/>
  <c r="T43" i="3"/>
  <c r="S43" i="3"/>
  <c r="V42" i="3"/>
  <c r="U42" i="3"/>
  <c r="T40" i="3"/>
  <c r="S40" i="3"/>
  <c r="V39" i="3"/>
  <c r="U39" i="3"/>
  <c r="T37" i="3"/>
  <c r="S37" i="3"/>
  <c r="V36" i="3"/>
  <c r="U36" i="3"/>
  <c r="T34" i="3"/>
  <c r="S34" i="3"/>
  <c r="F31" i="3"/>
  <c r="V33" i="3"/>
  <c r="U33" i="3"/>
  <c r="H31" i="3"/>
  <c r="G31" i="3"/>
  <c r="T31" i="3"/>
  <c r="S31" i="3"/>
  <c r="V30" i="3"/>
  <c r="U30" i="3"/>
  <c r="T28" i="3"/>
  <c r="S28" i="3"/>
  <c r="F25" i="3"/>
  <c r="V27" i="3"/>
  <c r="U27" i="3"/>
  <c r="H25" i="3"/>
  <c r="G25" i="3"/>
  <c r="T25" i="3"/>
  <c r="S25" i="3"/>
  <c r="V24" i="3"/>
  <c r="U24" i="3"/>
  <c r="T22" i="3"/>
  <c r="S22" i="3"/>
  <c r="V21" i="3"/>
  <c r="U21" i="3"/>
  <c r="T19" i="3"/>
  <c r="S19" i="3"/>
  <c r="V18" i="3"/>
  <c r="U18" i="3"/>
  <c r="T16" i="3"/>
  <c r="S16" i="3"/>
  <c r="F13" i="3"/>
  <c r="V15" i="3"/>
  <c r="U15" i="3"/>
  <c r="H13" i="3"/>
  <c r="G13" i="3"/>
  <c r="T13" i="3"/>
  <c r="S13" i="3"/>
  <c r="H40" i="4"/>
  <c r="G40" i="4"/>
  <c r="F40" i="4"/>
</calcChain>
</file>

<file path=xl/sharedStrings.xml><?xml version="1.0" encoding="utf-8"?>
<sst xmlns="http://schemas.openxmlformats.org/spreadsheetml/2006/main" count="2800" uniqueCount="1140">
  <si>
    <t>sample id</t>
  </si>
  <si>
    <t>set</t>
  </si>
  <si>
    <t>run id</t>
  </si>
  <si>
    <t>tag</t>
  </si>
  <si>
    <t>lane</t>
  </si>
  <si>
    <t>total</t>
  </si>
  <si>
    <t>PB2</t>
  </si>
  <si>
    <t>PB1</t>
  </si>
  <si>
    <t>PA</t>
  </si>
  <si>
    <t>HA</t>
  </si>
  <si>
    <t>NA</t>
  </si>
  <si>
    <t>NP</t>
  </si>
  <si>
    <t>M</t>
  </si>
  <si>
    <t>NS</t>
  </si>
  <si>
    <t>A</t>
  </si>
  <si>
    <t>TAGCTT</t>
  </si>
  <si>
    <t>64NG1AAXX</t>
  </si>
  <si>
    <t>B</t>
  </si>
  <si>
    <t>GGCTAC</t>
  </si>
  <si>
    <t>na</t>
  </si>
  <si>
    <t>nd</t>
  </si>
  <si>
    <t>ACTTGA</t>
  </si>
  <si>
    <t>GATCAG</t>
  </si>
  <si>
    <t>GTGGCC</t>
  </si>
  <si>
    <t>GTTTCG</t>
  </si>
  <si>
    <t>ACTGAT</t>
  </si>
  <si>
    <t>ATTCCT</t>
  </si>
  <si>
    <t>CGTACG</t>
  </si>
  <si>
    <t>GAGTGG</t>
  </si>
  <si>
    <t>A+B</t>
  </si>
  <si>
    <t>ACAGTC</t>
  </si>
  <si>
    <t>GCCAAT</t>
  </si>
  <si>
    <t>64YGTAAXX</t>
  </si>
  <si>
    <t>64KLUAAXX</t>
  </si>
  <si>
    <t>ATCACG</t>
  </si>
  <si>
    <t>TTAGGC</t>
  </si>
  <si>
    <t>66037AAXX</t>
  </si>
  <si>
    <t>CAGATC</t>
  </si>
  <si>
    <t>TGACCA</t>
  </si>
  <si>
    <t>ACAGTG</t>
  </si>
  <si>
    <t>CTTGTA</t>
  </si>
  <si>
    <t>CGATGT</t>
  </si>
  <si>
    <t>sampling time</t>
  </si>
  <si>
    <t>sample</t>
  </si>
  <si>
    <t>age</t>
  </si>
  <si>
    <t>year</t>
  </si>
  <si>
    <t>week</t>
  </si>
  <si>
    <t>date</t>
  </si>
  <si>
    <t>2007-2008</t>
  </si>
  <si>
    <t>n.a.</t>
  </si>
  <si>
    <t>H</t>
  </si>
  <si>
    <t>Y</t>
  </si>
  <si>
    <t>2008-2009</t>
  </si>
  <si>
    <t>severe</t>
  </si>
  <si>
    <t>mild</t>
  </si>
  <si>
    <t>2010-2011</t>
  </si>
  <si>
    <t>2011-2012</t>
  </si>
  <si>
    <t>2009-2010</t>
  </si>
  <si>
    <t>Severe</t>
  </si>
  <si>
    <t>Isolate_Id</t>
  </si>
  <si>
    <t>PB2 Segment_Id</t>
  </si>
  <si>
    <t>PB1 Segment_Id</t>
  </si>
  <si>
    <t>PA Segment_Id</t>
  </si>
  <si>
    <t>HA Segment_Id</t>
  </si>
  <si>
    <t>NP Segment_Id</t>
  </si>
  <si>
    <t>NA Segment_Id</t>
  </si>
  <si>
    <t>MP Segment_Id</t>
  </si>
  <si>
    <t>NS Segment_Id</t>
  </si>
  <si>
    <t>Isolate_Name</t>
  </si>
  <si>
    <t>EPI_ISL_164105</t>
  </si>
  <si>
    <t>EPI535935 | A/Nord Pas de Calais/4785/2009</t>
  </si>
  <si>
    <t>EPI535936 | A/Nord Pas de Calais/4785/2009</t>
  </si>
  <si>
    <t>EPI535937 | A/Nord Pas de Calais/4785/2009</t>
  </si>
  <si>
    <t>EPI535938 | A/Nord Pas de Calais/4785/2009</t>
  </si>
  <si>
    <t>EPI535939 | A/Nord Pas de Calais/4785/2009</t>
  </si>
  <si>
    <t>EPI535940 | A/Nord Pas de Calais/4785/2009</t>
  </si>
  <si>
    <t>EPI535941 | A/Nord Pas de Calais/4785/2009</t>
  </si>
  <si>
    <t>EPI535942 | A/Nord Pas de Calais/4785/2009</t>
  </si>
  <si>
    <t>A/Nord Pas de Calais/4785/2009</t>
  </si>
  <si>
    <t>EPI_ISL_164086</t>
  </si>
  <si>
    <t>EPI535783 | A/Paris/5121/2009</t>
  </si>
  <si>
    <t>EPI535784 | A/Paris/5121/2009</t>
  </si>
  <si>
    <t>EPI535785 | A/Paris/5121/2009</t>
  </si>
  <si>
    <t>EPI535786 | A/Paris/5121/2009</t>
  </si>
  <si>
    <t>EPI535787 | A/Paris/5121/2009</t>
  </si>
  <si>
    <t>EPI535788 | A/Paris/5121/2009</t>
  </si>
  <si>
    <t>EPI535789 | A/Paris/5121/2009</t>
  </si>
  <si>
    <t>EPI535790 | A/Paris/5121/2009</t>
  </si>
  <si>
    <t>A/Paris/5121/2009</t>
  </si>
  <si>
    <t>EPI_ISL_164087</t>
  </si>
  <si>
    <t>EPI535791 | A/Paris/5236/2009</t>
  </si>
  <si>
    <t>EPI535792 | A/Paris/5236/2009</t>
  </si>
  <si>
    <t>EPI535793 | A/Paris/5236/2009</t>
  </si>
  <si>
    <t>EPI535794 | A/Paris/5236/2009</t>
  </si>
  <si>
    <t>EPI535795 | A/Paris/5236/2009</t>
  </si>
  <si>
    <t>EPI535796 | A/Paris/5236/2009</t>
  </si>
  <si>
    <t>EPI535797 | A/Paris/5236/2009</t>
  </si>
  <si>
    <t>EPI535798 | A/Paris/5236/2009</t>
  </si>
  <si>
    <t>A/Paris/5236/2009</t>
  </si>
  <si>
    <t>EPI_ISL_164088</t>
  </si>
  <si>
    <t>EPI535799 | A/Haute Normandie/5267/2009</t>
  </si>
  <si>
    <t>EPI535800 | A/Haute Normandie/5267/2009</t>
  </si>
  <si>
    <t>EPI535801 | A/Haute Normandie/5267/2009</t>
  </si>
  <si>
    <t>EPI535802 | A/Haute Normandie/5267/2009</t>
  </si>
  <si>
    <t>EPI535803 | A/Haute Normandie/5267/2009</t>
  </si>
  <si>
    <t>EPI535804 | A/Haute Normandie/5267/2009</t>
  </si>
  <si>
    <t>EPI535805 | A/Haute Normandie/5267/2009</t>
  </si>
  <si>
    <t>EPI535806 | A/Haute Normandie/5267/2009</t>
  </si>
  <si>
    <t>A/Haute Normandie/5267/2009</t>
  </si>
  <si>
    <t>EPI_ISL_164089</t>
  </si>
  <si>
    <t>EPI535807 | A/Paris/5383/2009</t>
  </si>
  <si>
    <t>EPI535808 | A/Paris/5383/2009</t>
  </si>
  <si>
    <t>EPI535809 | A/Paris/5383/2009</t>
  </si>
  <si>
    <t>EPI535810 | A/Paris/5383/2009</t>
  </si>
  <si>
    <t>EPI535811 | A/Paris/5383/2009</t>
  </si>
  <si>
    <t>EPI535812 | A/Paris/5383/2009</t>
  </si>
  <si>
    <t>EPI535813 | A/Paris/5383/2009</t>
  </si>
  <si>
    <t>EPI535814 | A/Paris/5383/2009</t>
  </si>
  <si>
    <t>A/Paris/5383/2009</t>
  </si>
  <si>
    <t>EPI_ISL_164090</t>
  </si>
  <si>
    <t>EPI535815 | A/Paris/5452/2009</t>
  </si>
  <si>
    <t>EPI535816 | A/Paris/5452/2009</t>
  </si>
  <si>
    <t>EPI535817 | A/Paris/5452/2009</t>
  </si>
  <si>
    <t>EPI535818 | A/Paris/5452/2009</t>
  </si>
  <si>
    <t>EPI535819 | A/Paris/5452/2009</t>
  </si>
  <si>
    <t>EPI535820 | A/Paris/5452/2009</t>
  </si>
  <si>
    <t>EPI535821 | A/Paris/5452/2009</t>
  </si>
  <si>
    <t>EPI535822 | A/Paris/5452/2009</t>
  </si>
  <si>
    <t>A/Paris/5452/2009</t>
  </si>
  <si>
    <t>EPI_ISL_164092</t>
  </si>
  <si>
    <t>EPI535831 | A/Paris/5501/2009</t>
  </si>
  <si>
    <t>EPI535832 | A/Paris/5501/2009</t>
  </si>
  <si>
    <t>EPI535833 | A/Paris/5501/2009</t>
  </si>
  <si>
    <t>EPI535834 | A/Paris/5501/2009</t>
  </si>
  <si>
    <t>EPI535835 | A/Paris/5501/2009</t>
  </si>
  <si>
    <t>EPI535836 | A/Paris/5501/2009</t>
  </si>
  <si>
    <t>EPI535837 | A/Paris/5501/2009</t>
  </si>
  <si>
    <t>EPI535838 | A/Paris/5501/2009</t>
  </si>
  <si>
    <t>A/Paris/5501/2009</t>
  </si>
  <si>
    <t>EPI_ISL_164093</t>
  </si>
  <si>
    <t>EPI535839 | A/Paris/5509/2009</t>
  </si>
  <si>
    <t>EPI535840 | A/Paris/5509/2009</t>
  </si>
  <si>
    <t>EPI535841 | A/Paris/5509/2009</t>
  </si>
  <si>
    <t>EPI535842 | A/Paris/5509/2009</t>
  </si>
  <si>
    <t>EPI535843 | A/Paris/5509/2009</t>
  </si>
  <si>
    <t>EPI535844 | A/Paris/5509/2009</t>
  </si>
  <si>
    <t>EPI535845 | A/Paris/5509/2009</t>
  </si>
  <si>
    <t>EPI535846 | A/Paris/5509/2009</t>
  </si>
  <si>
    <t>A/Paris/5509/2009</t>
  </si>
  <si>
    <t>EPI_ISL_164094</t>
  </si>
  <si>
    <t>EPI535847 | A/Lorraine/5510/2009</t>
  </si>
  <si>
    <t>EPI535848 | A/Lorraine/5510/2009</t>
  </si>
  <si>
    <t>EPI535849 | A/Lorraine/5510/2009</t>
  </si>
  <si>
    <t>EPI535850 | A/Lorraine/5510/2009</t>
  </si>
  <si>
    <t>EPI535851 | A/Lorraine/5510/2009</t>
  </si>
  <si>
    <t>EPI535852 | A/Lorraine/5510/2009</t>
  </si>
  <si>
    <t>EPI535853 | A/Lorraine/5510/2009</t>
  </si>
  <si>
    <t>EPI535854 | A/Lorraine/5510/2009</t>
  </si>
  <si>
    <t>A/Lorraine/5510/2009</t>
  </si>
  <si>
    <t>EPI_ISL_164096</t>
  </si>
  <si>
    <t>EPI535863 | A/Paris/6069/2009</t>
  </si>
  <si>
    <t>EPI535864 | A/Paris/6069/2009</t>
  </si>
  <si>
    <t>EPI535865 | A/Paris/6069/2009</t>
  </si>
  <si>
    <t>EPI535866 | A/Paris/6069/2009</t>
  </si>
  <si>
    <t>EPI535867 | A/Paris/6069/2009</t>
  </si>
  <si>
    <t>EPI535868 | A/Paris/6069/2009</t>
  </si>
  <si>
    <t>EPI535869 | A/Paris/6069/2009</t>
  </si>
  <si>
    <t>EPI535870 | A/Paris/6069/2009</t>
  </si>
  <si>
    <t>A/Paris/6069/2009</t>
  </si>
  <si>
    <t>EPI_ISL_164097</t>
  </si>
  <si>
    <t>EPI535871 | A/Paris/6074/2009</t>
  </si>
  <si>
    <t>EPI535872 | A/Paris/6074/2009</t>
  </si>
  <si>
    <t>EPI535873 | A/Paris/6074/2009</t>
  </si>
  <si>
    <t>EPI535874 | A/Paris/6074/2009</t>
  </si>
  <si>
    <t>EPI535875 | A/Paris/6074/2009</t>
  </si>
  <si>
    <t>EPI535876 | A/Paris/6074/2009</t>
  </si>
  <si>
    <t>EPI535877 | A/Paris/6074/2009</t>
  </si>
  <si>
    <t>EPI535878 | A/Paris/6074/2009</t>
  </si>
  <si>
    <t>A/Paris/6074/2009</t>
  </si>
  <si>
    <t>EPI_ISL_164107</t>
  </si>
  <si>
    <t>EPI535951 | A/Haute Normandie/7208/2009</t>
  </si>
  <si>
    <t>EPI535952 | A/Haute Normandie/7208/2009</t>
  </si>
  <si>
    <t>EPI535953 | A/Haute Normandie/7208/2009</t>
  </si>
  <si>
    <t>EPI535954 | A/Haute Normandie/7208/2009</t>
  </si>
  <si>
    <t>EPI535955 | A/Haute Normandie/7208/2009</t>
  </si>
  <si>
    <t>EPI535956 | A/Haute Normandie/7208/2009</t>
  </si>
  <si>
    <t>EPI535957 | A/Haute Normandie/7208/2009</t>
  </si>
  <si>
    <t>EPI535958 | A/Haute Normandie/7208/2009</t>
  </si>
  <si>
    <t>A/Haute Normandie/7208/2009</t>
  </si>
  <si>
    <t>EPI_ISL_164098</t>
  </si>
  <si>
    <t>EPI535879 | A/Lorraine/7214/2009</t>
  </si>
  <si>
    <t>EPI535880 | A/Lorraine/7214/2009</t>
  </si>
  <si>
    <t>EPI535881 | A/Lorraine/7214/2009</t>
  </si>
  <si>
    <t>EPI535882 | A/Lorraine/7214/2009</t>
  </si>
  <si>
    <t>EPI535883 | A/Lorraine/7214/2009</t>
  </si>
  <si>
    <t>EPI535884 | A/Lorraine/7214/2009</t>
  </si>
  <si>
    <t>EPI535885 | A/Lorraine/7214/2009</t>
  </si>
  <si>
    <t>EPI535886 | A/Lorraine/7214/2009</t>
  </si>
  <si>
    <t>A/Lorraine/7214/2009</t>
  </si>
  <si>
    <t>EPI_ISL_164099</t>
  </si>
  <si>
    <t>EPI535887 | A/Bourgogne/7575/2009</t>
  </si>
  <si>
    <t>EPI535888 | A/Bourgogne/7575/2009</t>
  </si>
  <si>
    <t>EPI535889 | A/Bourgogne/7575/2009</t>
  </si>
  <si>
    <t>EPI535890 | A/Bourgogne/7575/2009</t>
  </si>
  <si>
    <t>EPI535891 | A/Bourgogne/7575/2009</t>
  </si>
  <si>
    <t>EPI535892 | A/Bourgogne/7575/2009</t>
  </si>
  <si>
    <t>EPI535893 | A/Bourgogne/7575/2009</t>
  </si>
  <si>
    <t>EPI535894 | A/Bourgogne/7575/2009</t>
  </si>
  <si>
    <t>A/Bourgogne/7575/2009</t>
  </si>
  <si>
    <t>EPI_ISL_164100</t>
  </si>
  <si>
    <t>EPI535895 | A/Bretagne/7608/2009</t>
  </si>
  <si>
    <t>EPI535896 | A/Bretagne/7608/2009</t>
  </si>
  <si>
    <t>EPI535897 | A/Bretagne/7608/2009</t>
  </si>
  <si>
    <t>EPI535898 | A/Bretagne/7608/2009</t>
  </si>
  <si>
    <t>EPI535899 | A/Bretagne/7608/2009</t>
  </si>
  <si>
    <t>EPI535900 | A/Bretagne/7608/2009</t>
  </si>
  <si>
    <t>EPI535901 | A/Bretagne/7608/2009</t>
  </si>
  <si>
    <t>EPI535902 | A/Bretagne/7608/2009</t>
  </si>
  <si>
    <t>A/Bretagne/7608/2009</t>
  </si>
  <si>
    <t>EPI_ISL_164101</t>
  </si>
  <si>
    <t>EPI535903 | A/Bretagne/7639/2009</t>
  </si>
  <si>
    <t>EPI535904 | A/Bretagne/7639/2009</t>
  </si>
  <si>
    <t>EPI535905 | A/Bretagne/7639/2009</t>
  </si>
  <si>
    <t>EPI535906 | A/Bretagne/7639/2009</t>
  </si>
  <si>
    <t>EPI535907 | A/Bretagne/7639/2009</t>
  </si>
  <si>
    <t>EPI535908 | A/Bretagne/7639/2009</t>
  </si>
  <si>
    <t>EPI535909 | A/Bretagne/7639/2009</t>
  </si>
  <si>
    <t>EPI535910 | A/Bretagne/7639/2009</t>
  </si>
  <si>
    <t>A/Bretagne/7639/2009</t>
  </si>
  <si>
    <t>EPI_ISL_164102</t>
  </si>
  <si>
    <t>EPI535911 | A/Franche Comte/7661/2009</t>
  </si>
  <si>
    <t>EPI535912 | A/Franche Comte/7661/2009</t>
  </si>
  <si>
    <t>EPI535913 | A/Franche Comte/7661/2009</t>
  </si>
  <si>
    <t>EPI535914 | A/Franche Comte/7661/2009</t>
  </si>
  <si>
    <t>EPI535915 | A/Franche Comte/7661/2009</t>
  </si>
  <si>
    <t>EPI535916 | A/Franche Comte/7661/2009</t>
  </si>
  <si>
    <t>EPI535917 | A/Franche Comte/7661/2009</t>
  </si>
  <si>
    <t>EPI535918 | A/Franche Comte/7661/2009</t>
  </si>
  <si>
    <t>A/Franche Comte/7661/2009</t>
  </si>
  <si>
    <t>EPI_ISL_164104</t>
  </si>
  <si>
    <t>EPI535927 | A/Nord Pas de Calais/450/2010</t>
  </si>
  <si>
    <t>EPI535928 | A/Nord Pas de Calais/450/2010</t>
  </si>
  <si>
    <t>EPI535929 | A/Nord Pas de Calais/450/2010</t>
  </si>
  <si>
    <t>EPI535930 | A/Nord Pas de Calais/450/2010</t>
  </si>
  <si>
    <t>EPI535931 | A/Nord Pas de Calais/450/2010</t>
  </si>
  <si>
    <t>EPI535932 | A/Nord Pas de Calais/450/2010</t>
  </si>
  <si>
    <t>EPI535933 | A/Nord Pas de Calais/450/2010</t>
  </si>
  <si>
    <t>EPI535934 | A/Nord Pas de Calais/450/2010</t>
  </si>
  <si>
    <t>A/Nord Pas de Calais/450/2010</t>
  </si>
  <si>
    <t>EPI_ISL_164109</t>
  </si>
  <si>
    <t>EPI535967 | A/Poitou Charentes/1450/2009</t>
  </si>
  <si>
    <t/>
  </si>
  <si>
    <t>EPI535968 | A/Poitou Charentes/1450/2009</t>
  </si>
  <si>
    <t>EPI535969 | A/Poitou Charentes/1450/2009</t>
  </si>
  <si>
    <t>EPI535970 | A/Poitou Charentes/1450/2009</t>
  </si>
  <si>
    <t>EPI535971 | A/Poitou Charentes/1450/2009</t>
  </si>
  <si>
    <t>EPI535972 | A/Poitou Charentes/1450/2009</t>
  </si>
  <si>
    <t>EPI535973 | A/Poitou Charentes/1450/2009</t>
  </si>
  <si>
    <t>A/Poitou Charentes/1450/2009</t>
  </si>
  <si>
    <t>EPI_ISL_164108</t>
  </si>
  <si>
    <t>EPI535959 | A/Languedoc Roussillon/1466/2009</t>
  </si>
  <si>
    <t>EPI535960 | A/Languedoc Roussillon/1466/2009</t>
  </si>
  <si>
    <t>EPI535961 | A/Languedoc Roussillon/1466/2009</t>
  </si>
  <si>
    <t>EPI535962 | A/Languedoc Roussillon/1466/2009</t>
  </si>
  <si>
    <t>EPI535963 | A/Languedoc Roussillon/1466/2009</t>
  </si>
  <si>
    <t>EPI535964 | A/Languedoc Roussillon/1466/2009</t>
  </si>
  <si>
    <t>EPI535965 | A/Languedoc Roussillon/1466/2009</t>
  </si>
  <si>
    <t>EPI535966 | A/Languedoc Roussillon/1466/2009</t>
  </si>
  <si>
    <t>A/Languedoc Roussillon/1466/2009</t>
  </si>
  <si>
    <t>EPI_ISL_164110</t>
  </si>
  <si>
    <t>EPI535974 | A/Paris/1910/2010</t>
  </si>
  <si>
    <t>EPI535975 | A/Paris/1910/2010</t>
  </si>
  <si>
    <t>EPI535976 | A/Paris/1910/2010</t>
  </si>
  <si>
    <t>EPI535977 | A/Paris/1910/2010</t>
  </si>
  <si>
    <t>EPI535978 | A/Paris/1910/2010</t>
  </si>
  <si>
    <t>EPI535979 | A/Paris/1910/2010</t>
  </si>
  <si>
    <t>EPI535980 | A/Paris/1910/2010</t>
  </si>
  <si>
    <t>EPI535981 | A/Paris/1910/2010</t>
  </si>
  <si>
    <t>A/Paris/1910/2010</t>
  </si>
  <si>
    <t>EPI_ISL_164111</t>
  </si>
  <si>
    <t>EPI535982 | A/Nord Pas de Calais/2111/2010</t>
  </si>
  <si>
    <t>EPI535983 | A/Nord Pas de Calais/2111/2010</t>
  </si>
  <si>
    <t>EPI535984 | A/Nord Pas de Calais/2111/2010</t>
  </si>
  <si>
    <t>EPI535985 | A/Nord Pas de Calais/2111/2010</t>
  </si>
  <si>
    <t>EPI535986 | A/Nord Pas de Calais/2111/2010</t>
  </si>
  <si>
    <t>EPI535987 | A/Nord Pas de Calais/2111/2010</t>
  </si>
  <si>
    <t>EPI535988 | A/Nord Pas de Calais/2111/2010</t>
  </si>
  <si>
    <t>EPI535989 | A/Nord Pas de Calais/2111/2010</t>
  </si>
  <si>
    <t>A/Nord Pas de Calais/2111/2010</t>
  </si>
  <si>
    <t>EPI_ISL_164127</t>
  </si>
  <si>
    <t>EPI536110 | A/Paris/2207/2010</t>
  </si>
  <si>
    <t>EPI536111 | A/Paris/2207/2010</t>
  </si>
  <si>
    <t>EPI536112 | A/Paris/2207/2010</t>
  </si>
  <si>
    <t>EPI536113 | A/Paris/2207/2010</t>
  </si>
  <si>
    <t>EPI536114 | A/Paris/2207/2010</t>
  </si>
  <si>
    <t>EPI536115 | A/Paris/2207/2010</t>
  </si>
  <si>
    <t>EPI536116 | A/Paris/2207/2010</t>
  </si>
  <si>
    <t>EPI536117 | A/Paris/2207/2010</t>
  </si>
  <si>
    <t>A/Paris/2207/2010</t>
  </si>
  <si>
    <t>EPI_ISL_164112</t>
  </si>
  <si>
    <t>EPI535990 | A/Centre/2236/2010</t>
  </si>
  <si>
    <t>EPI535991 | A/Centre/2236/2010</t>
  </si>
  <si>
    <t>EPI535992 | A/Centre/2236/2010</t>
  </si>
  <si>
    <t>EPI535993 | A/Centre/2236/2010</t>
  </si>
  <si>
    <t>EPI535994 | A/Centre/2236/2010</t>
  </si>
  <si>
    <t>EPI535995 | A/Centre/2236/2010</t>
  </si>
  <si>
    <t>EPI535996 | A/Centre/2236/2010</t>
  </si>
  <si>
    <t>EPI535997 | A/Centre/2236/2010</t>
  </si>
  <si>
    <t>A/Centre/2236/2010</t>
  </si>
  <si>
    <t>EPI_ISL_164113</t>
  </si>
  <si>
    <t>EPI535998 | A/Paris/2251/2010</t>
  </si>
  <si>
    <t>EPI535999 | A/Paris/2251/2010</t>
  </si>
  <si>
    <t>EPI536000 | A/Paris/2251/2010</t>
  </si>
  <si>
    <t>EPI536001 | A/Paris/2251/2010</t>
  </si>
  <si>
    <t>EPI536002 | A/Paris/2251/2010</t>
  </si>
  <si>
    <t>EPI536003 | A/Paris/2251/2010</t>
  </si>
  <si>
    <t>EPI536004 | A/Paris/2251/2010</t>
  </si>
  <si>
    <t>EPI536005 | A/Paris/2251/2010</t>
  </si>
  <si>
    <t>A/Paris/2251/2010</t>
  </si>
  <si>
    <t>EPI_ISL_164128</t>
  </si>
  <si>
    <t>EPI536118 | A/Pays de Loire/2362/2010</t>
  </si>
  <si>
    <t>EPI536119 | A/Pays de Loire/2362/2010</t>
  </si>
  <si>
    <t>EPI536120 | A/Pays de Loire/2362/2010</t>
  </si>
  <si>
    <t>EPI536121 | A/Pays de Loire/2362/2010</t>
  </si>
  <si>
    <t>EPI536122 | A/Pays de Loire/2362/2010</t>
  </si>
  <si>
    <t>EPI536123 | A/Pays de Loire/2362/2010</t>
  </si>
  <si>
    <t>EPI536124 | A/Pays de Loire/2362/2010</t>
  </si>
  <si>
    <t>EPI536125 | A/Pays de Loire/2362/2010</t>
  </si>
  <si>
    <t>A/Pays de Loire/2362/2010</t>
  </si>
  <si>
    <t>EPI_ISL_164129</t>
  </si>
  <si>
    <t>EPI536126 | A/Pays de Loire/104/2011</t>
  </si>
  <si>
    <t>EPI536127 | A/Pays de Loire/104/2011</t>
  </si>
  <si>
    <t>EPI536128 | A/Pays de Loire/104/2011</t>
  </si>
  <si>
    <t>EPI536129 | A/Pays de Loire/104/2011</t>
  </si>
  <si>
    <t>EPI536130 | A/Pays de Loire/104/2011</t>
  </si>
  <si>
    <t>EPI536131 | A/Pays de Loire/104/2011</t>
  </si>
  <si>
    <t>EPI536132 | A/Pays de Loire/104/2011</t>
  </si>
  <si>
    <t>EPI536133 | A/Pays de Loire/104/2011</t>
  </si>
  <si>
    <t>A/Pays de Loire/104/2011</t>
  </si>
  <si>
    <t>EPI_ISL_164116</t>
  </si>
  <si>
    <t>EPI536022 | A/Franche Comte/187/2011</t>
  </si>
  <si>
    <t>EPI536023 | A/Franche Comte/187/2011</t>
  </si>
  <si>
    <t>EPI536024 | A/Franche Comte/187/2011</t>
  </si>
  <si>
    <t>EPI536025 | A/Franche Comte/187/2011</t>
  </si>
  <si>
    <t>EPI536026 | A/Franche Comte/187/2011</t>
  </si>
  <si>
    <t>EPI536027 | A/Franche Comte/187/2011</t>
  </si>
  <si>
    <t>EPI536028 | A/Franche Comte/187/2011</t>
  </si>
  <si>
    <t>EPI536029 | A/Franche Comte/187/2011</t>
  </si>
  <si>
    <t>A/Franche Comte/187/2011</t>
  </si>
  <si>
    <t>EPI_ISL_164130</t>
  </si>
  <si>
    <t>EPI536134 | A/Pays de Loire/299/2011</t>
  </si>
  <si>
    <t>EPI536135 | A/Pays de Loire/299/2011</t>
  </si>
  <si>
    <t>EPI536136 | A/Pays de Loire/299/2011</t>
  </si>
  <si>
    <t>EPI536137 | A/Pays de Loire/299/2011</t>
  </si>
  <si>
    <t>EPI536138 | A/Pays de Loire/299/2011</t>
  </si>
  <si>
    <t>EPI536139 | A/Pays de Loire/299/2011</t>
  </si>
  <si>
    <t>EPI536140 | A/Pays de Loire/299/2011</t>
  </si>
  <si>
    <t>EPI536141 | A/Pays de Loire/299/2011</t>
  </si>
  <si>
    <t>A/Pays de Loire/299/2011</t>
  </si>
  <si>
    <t>EPI_ISL_164118</t>
  </si>
  <si>
    <t>EPI536038 | A/Pays de Loire/402/2011</t>
  </si>
  <si>
    <t>EPI536039 | A/Pays de Loire/402/2011</t>
  </si>
  <si>
    <t>EPI536040 | A/Pays de Loire/402/2011</t>
  </si>
  <si>
    <t>EPI536041 | A/Pays de Loire/402/2011</t>
  </si>
  <si>
    <t>EPI536042 | A/Pays de Loire/402/2011</t>
  </si>
  <si>
    <t>EPI536043 | A/Pays de Loire/402/2011</t>
  </si>
  <si>
    <t>EPI536044 | A/Pays de Loire/402/2011</t>
  </si>
  <si>
    <t>EPI536045 | A/Pays de Loire/402/2011</t>
  </si>
  <si>
    <t>A/Pays de Loire/402/2011</t>
  </si>
  <si>
    <t>EPI_ISL_164119</t>
  </si>
  <si>
    <t>EPI536046 | A/Bretagne/602/2011</t>
  </si>
  <si>
    <t>EPI536047 | A/Bretagne/602/2011</t>
  </si>
  <si>
    <t>EPI536048 | A/Bretagne/602/2011</t>
  </si>
  <si>
    <t>EPI536049 | A/Bretagne/602/2011</t>
  </si>
  <si>
    <t>EPI536050 | A/Bretagne/602/2011</t>
  </si>
  <si>
    <t>EPI536051 | A/Bretagne/602/2011</t>
  </si>
  <si>
    <t>EPI536052 | A/Bretagne/602/2011</t>
  </si>
  <si>
    <t>EPI536053 | A/Bretagne/602/2011</t>
  </si>
  <si>
    <t>A/Bretagne/602/2011</t>
  </si>
  <si>
    <t>EPI_ISL_164131</t>
  </si>
  <si>
    <t>EPI536142 | A/Paris/619/2011</t>
  </si>
  <si>
    <t>EPI536143 | A/Paris/619/2011</t>
  </si>
  <si>
    <t>EPI536144 | A/Paris/619/2011</t>
  </si>
  <si>
    <t>EPI536145 | A/Paris/619/2011</t>
  </si>
  <si>
    <t>EPI536146 | A/Paris/619/2011</t>
  </si>
  <si>
    <t>EPI536147 | A/Paris/619/2011</t>
  </si>
  <si>
    <t>EPI536148 | A/Paris/619/2011</t>
  </si>
  <si>
    <t>EPI536149 | A/Paris/619/2011</t>
  </si>
  <si>
    <t>A/Paris/619/2011</t>
  </si>
  <si>
    <t>EPI_ISL_164122</t>
  </si>
  <si>
    <t>EPI536070 | A/Lorraine/1053/2011</t>
  </si>
  <si>
    <t>EPI536071 | A/Lorraine/1053/2011</t>
  </si>
  <si>
    <t>EPI536072 | A/Lorraine/1053/2011</t>
  </si>
  <si>
    <t>EPI536073 | A/Lorraine/1053/2011</t>
  </si>
  <si>
    <t>EPI536074 | A/Lorraine/1053/2011</t>
  </si>
  <si>
    <t>EPI536075 | A/Lorraine/1053/2011</t>
  </si>
  <si>
    <t>EPI536076 | A/Lorraine/1053/2011</t>
  </si>
  <si>
    <t>EPI536077 | A/Lorraine/1053/2011</t>
  </si>
  <si>
    <t>A/Lorraine/1053/2011</t>
  </si>
  <si>
    <t>EPI_ISL_164123</t>
  </si>
  <si>
    <t>EPI536078 | A/Paris/1249/2011</t>
  </si>
  <si>
    <t>EPI536079 | A/Paris/1249/2011</t>
  </si>
  <si>
    <t>EPI536080 | A/Paris/1249/2011</t>
  </si>
  <si>
    <t>EPI536081 | A/Paris/1249/2011</t>
  </si>
  <si>
    <t>EPI536082 | A/Paris/1249/2011</t>
  </si>
  <si>
    <t>EPI536083 | A/Paris/1249/2011</t>
  </si>
  <si>
    <t>EPI536084 | A/Paris/1249/2011</t>
  </si>
  <si>
    <t>EPI536085 | A/Paris/1249/2011</t>
  </si>
  <si>
    <t>A/Paris/1249/2011</t>
  </si>
  <si>
    <t>EPI_ISL_164124</t>
  </si>
  <si>
    <t>EPI536086 | A/Pays de Loire/1347/2011</t>
  </si>
  <si>
    <t>EPI536087 | A/Pays de Loire/1347/2011</t>
  </si>
  <si>
    <t>EPI536088 | A/Pays de Loire/1347/2011</t>
  </si>
  <si>
    <t>EPI536089 | A/Pays de Loire/1347/2011</t>
  </si>
  <si>
    <t>EPI536090 | A/Pays de Loire/1347/2011</t>
  </si>
  <si>
    <t>EPI536091 | A/Pays de Loire/1347/2011</t>
  </si>
  <si>
    <t>EPI536092 | A/Pays de Loire/1347/2011</t>
  </si>
  <si>
    <t>EPI536093 | A/Pays de Loire/1347/2011</t>
  </si>
  <si>
    <t>A/Pays de Loire/1347/2011</t>
  </si>
  <si>
    <t>EPI_ISL_164125</t>
  </si>
  <si>
    <t>EPI536094 | A/Picardie/568/2012</t>
  </si>
  <si>
    <t>EPI536095 | A/Picardie/568/2012</t>
  </si>
  <si>
    <t>EPI536096 | A/Picardie/568/2012</t>
  </si>
  <si>
    <t>EPI536097 | A/Picardie/568/2012</t>
  </si>
  <si>
    <t>EPI536098 | A/Picardie/568/2012</t>
  </si>
  <si>
    <t>EPI536099 | A/Picardie/568/2012</t>
  </si>
  <si>
    <t>EPI536100 | A/Picardie/568/2012</t>
  </si>
  <si>
    <t>EPI536101 | A/Picardie/568/2012</t>
  </si>
  <si>
    <t>A/Picardie/568/2012</t>
  </si>
  <si>
    <t>EPI_ISL_164134</t>
  </si>
  <si>
    <t>EPI536166 | A/Paris/1119/2012</t>
  </si>
  <si>
    <t>EPI536167 | A/Paris/1119/2012</t>
  </si>
  <si>
    <t>EPI536168 | A/Paris/1119/2012</t>
  </si>
  <si>
    <t>EPI536169 | A/Paris/1119/2012</t>
  </si>
  <si>
    <t>EPI536170 | A/Paris/1119/2012</t>
  </si>
  <si>
    <t>EPI536171 | A/Paris/1119/2012</t>
  </si>
  <si>
    <t>EPI536172 | A/Paris/1119/2012</t>
  </si>
  <si>
    <t>EPI536173 | A/Paris/1119/2012</t>
  </si>
  <si>
    <t>A/Paris/1119/2012</t>
  </si>
  <si>
    <t>EPI_ISL_164126</t>
  </si>
  <si>
    <t>EPI536102 | A/Lorraine/1257/2012</t>
  </si>
  <si>
    <t>EPI536103 | A/Lorraine/1257/2012</t>
  </si>
  <si>
    <t>EPI536104 | A/Lorraine/1257/2012</t>
  </si>
  <si>
    <t>EPI536105 | A/Lorraine/1257/2012</t>
  </si>
  <si>
    <t>EPI536106 | A/Lorraine/1257/2012</t>
  </si>
  <si>
    <t>EPI536107 | A/Lorraine/1257/2012</t>
  </si>
  <si>
    <t>EPI536108 | A/Lorraine/1257/2012</t>
  </si>
  <si>
    <t>EPI536109 | A/Lorraine/1257/2012</t>
  </si>
  <si>
    <t>A/Lorraine/1257/2012</t>
  </si>
  <si>
    <t>GISAID</t>
  </si>
  <si>
    <t>% recovery</t>
  </si>
  <si>
    <t>after 1st cleaning</t>
  </si>
  <si>
    <t>after 2nd cleaning</t>
  </si>
  <si>
    <t>2nd vs 1st</t>
  </si>
  <si>
    <t>3rd vs 2nd</t>
  </si>
  <si>
    <t>overall</t>
  </si>
  <si>
    <t>EPI_ISL_164036</t>
  </si>
  <si>
    <t>EPI535417 | A/Paris/358/2007</t>
  </si>
  <si>
    <t>EPI535418 | A/Paris/358/2007</t>
  </si>
  <si>
    <t>EPI535419 | A/Paris/358/2007</t>
  </si>
  <si>
    <t>EPI535420 | A/Paris/358/2007</t>
  </si>
  <si>
    <t>EPI535421 | A/Paris/358/2007</t>
  </si>
  <si>
    <t>EPI535422 | A/Paris/358/2007</t>
  </si>
  <si>
    <t>EPI535423 | A/Paris/358/2007</t>
  </si>
  <si>
    <t>EPI535424 | A/Paris/358/2007</t>
  </si>
  <si>
    <t>A/Paris/358/2007</t>
  </si>
  <si>
    <t>EPI_ISL_164038</t>
  </si>
  <si>
    <t>EPI535433 | A/Paris/123/2008</t>
  </si>
  <si>
    <t>EPI535434 | A/Paris/123/2008</t>
  </si>
  <si>
    <t>EPI535435 | A/Paris/123/2008</t>
  </si>
  <si>
    <t>EPI535436 | A/Paris/123/2008</t>
  </si>
  <si>
    <t>EPI535437 | A/Paris/123/2008</t>
  </si>
  <si>
    <t>EPI535438 | A/Paris/123/2008</t>
  </si>
  <si>
    <t>EPI535439 | A/Paris/123/2008</t>
  </si>
  <si>
    <t>EPI535440 | A/Paris/123/2008</t>
  </si>
  <si>
    <t>A/Paris/123/2008</t>
  </si>
  <si>
    <t>EPI_ISL_164048</t>
  </si>
  <si>
    <t>EPI535500 | A/Paris/711/2008</t>
  </si>
  <si>
    <t>EPI535501 | A/Paris/711/2008</t>
  </si>
  <si>
    <t>EPI535502 | A/Paris/711/2008</t>
  </si>
  <si>
    <t>EPI535503 | A/Paris/711/2008</t>
  </si>
  <si>
    <t>EPI535504 | A/Paris/711/2008</t>
  </si>
  <si>
    <t>EPI535505 | A/Paris/711/2008</t>
  </si>
  <si>
    <t>EPI535506 | A/Paris/711/2008</t>
  </si>
  <si>
    <t>EPI535507 | A/Paris/711/2008</t>
  </si>
  <si>
    <t>A/Paris/711/2008</t>
  </si>
  <si>
    <t>EPI_ISL_164039</t>
  </si>
  <si>
    <t>EPI535441 | A/Paris/892/2009</t>
  </si>
  <si>
    <t>EPI535442 | A/Paris/892/2009</t>
  </si>
  <si>
    <t>EPI535443 | A/Paris/892/2009</t>
  </si>
  <si>
    <t>EPI535444 | A/Paris/892/2009</t>
  </si>
  <si>
    <t>EPI535445 | A/Paris/892/2009</t>
  </si>
  <si>
    <t>EPI535446 | A/Paris/892/2009</t>
  </si>
  <si>
    <t>EPI535447 | A/Paris/892/2009</t>
  </si>
  <si>
    <t>EPI535448 | A/Paris/892/2009</t>
  </si>
  <si>
    <t>A/Paris/892/2009</t>
  </si>
  <si>
    <t>EPI_ISL_164040</t>
  </si>
  <si>
    <t>EPI535449 | A/Paris/965/2009</t>
  </si>
  <si>
    <t>EPI535450 | A/Paris/965/2009</t>
  </si>
  <si>
    <t>EPI535451 | A/Paris/965/2009</t>
  </si>
  <si>
    <t>EPI535452 | A/Paris/965/2009</t>
  </si>
  <si>
    <t>EPI535453 | A/Paris/965/2009</t>
  </si>
  <si>
    <t>EPI535454 | A/Paris/965/2009</t>
  </si>
  <si>
    <t>EPI535455 | A/Paris/965/2009</t>
  </si>
  <si>
    <t>EPI535456 | A/Paris/965/2009</t>
  </si>
  <si>
    <t>A/Paris/965/2009</t>
  </si>
  <si>
    <t>EPI_ISL_164042</t>
  </si>
  <si>
    <t>EPI535468 | A/Paris/1068/2009</t>
  </si>
  <si>
    <t>EPI535469 | A/Paris/1068/2009</t>
  </si>
  <si>
    <t>EPI535470 | A/Paris/1068/2009</t>
  </si>
  <si>
    <t>EPI535471 | A/Paris/1068/2009</t>
  </si>
  <si>
    <t>EPI535472 | A/Paris/1068/2009</t>
  </si>
  <si>
    <t>EPI535473 | A/Paris/1068/2009</t>
  </si>
  <si>
    <t>EPI535474 | A/Paris/1068/2009</t>
  </si>
  <si>
    <t>EPI535475 | A/Paris/1068/2009</t>
  </si>
  <si>
    <t>A/Paris/1068/2009</t>
  </si>
  <si>
    <t>EPI_ISL_164045</t>
  </si>
  <si>
    <t>EPI535476 | A/Paris/1069/2009</t>
  </si>
  <si>
    <t>EPI535477 | A/Paris/1069/2009</t>
  </si>
  <si>
    <t>EPI535478 | A/Paris/1069/2009</t>
  </si>
  <si>
    <t>EPI535479 | A/Paris/1069/2009</t>
  </si>
  <si>
    <t>EPI535480 | A/Paris/1069/2009</t>
  </si>
  <si>
    <t>EPI535481 | A/Paris/1069/2009</t>
  </si>
  <si>
    <t>EPI535482 | A/Paris/1069/2009</t>
  </si>
  <si>
    <t>EPI535483 | A/Paris/1069/2009</t>
  </si>
  <si>
    <t>A/Paris/1069/2009</t>
  </si>
  <si>
    <t>EPI_ISL_164046</t>
  </si>
  <si>
    <t>EPI535484 | A/Paris/1094/2009</t>
  </si>
  <si>
    <t>EPI535485 | A/Paris/1094/2009</t>
  </si>
  <si>
    <t>EPI535486 | A/Paris/1094/2009</t>
  </si>
  <si>
    <t>EPI535487 | A/Paris/1094/2009</t>
  </si>
  <si>
    <t>EPI535488 | A/Paris/1094/2009</t>
  </si>
  <si>
    <t>EPI535489 | A/Paris/1094/2009</t>
  </si>
  <si>
    <t>EPI535490 | A/Paris/1094/2009</t>
  </si>
  <si>
    <t>EPI535491 | A/Paris/1094/2009</t>
  </si>
  <si>
    <t>A/Paris/1094/2009</t>
  </si>
  <si>
    <t>EPI_ISL_164047</t>
  </si>
  <si>
    <t>EPI535492 | A/Paris/1119/2009</t>
  </si>
  <si>
    <t>EPI535493 | A/Paris/1119/2009</t>
  </si>
  <si>
    <t>EPI535494 | A/Paris/1119/2009</t>
  </si>
  <si>
    <t>EPI535495 | A/Paris/1119/2009</t>
  </si>
  <si>
    <t>EPI535496 | A/Paris/1119/2009</t>
  </si>
  <si>
    <t>EPI535497 | A/Paris/1119/2009</t>
  </si>
  <si>
    <t>EPI535498 | A/Paris/1119/2009</t>
  </si>
  <si>
    <t>EPI535499 | A/Paris/1119/2009</t>
  </si>
  <si>
    <t>A/Paris/1119/2009</t>
  </si>
  <si>
    <t>EPI_ISL_164050</t>
  </si>
  <si>
    <t>EPI535516 | A/Paris/1973/2008</t>
  </si>
  <si>
    <t>EPI535517 | A/Paris/1973/2008</t>
  </si>
  <si>
    <t>EPI535518 | A/Paris/1973/2008</t>
  </si>
  <si>
    <t>EPI535519 | A/Paris/1973/2008</t>
  </si>
  <si>
    <t>EPI535520 | A/Paris/1973/2008</t>
  </si>
  <si>
    <t>EPI535521 | A/Paris/1973/2008</t>
  </si>
  <si>
    <t>EPI535522 | A/Paris/1973/2008</t>
  </si>
  <si>
    <t>EPI535523 | A/Paris/1973/2008</t>
  </si>
  <si>
    <t>A/Paris/1973/2008</t>
  </si>
  <si>
    <t>EPI_ISL_164051</t>
  </si>
  <si>
    <t>EPI535524 | A/Paris/1980/2008</t>
  </si>
  <si>
    <t>EPI535525 | A/Paris/1980/2008</t>
  </si>
  <si>
    <t>EPI535526 | A/Paris/1980/2008</t>
  </si>
  <si>
    <t>EPI535527 | A/Paris/1980/2008</t>
  </si>
  <si>
    <t>EPI535528 | A/Paris/1980/2008</t>
  </si>
  <si>
    <t>EPI535529 | A/Paris/1980/2008</t>
  </si>
  <si>
    <t>EPI535530 | A/Paris/1980/2008</t>
  </si>
  <si>
    <t>EPI535531 | A/Paris/1980/2008</t>
  </si>
  <si>
    <t>A/Paris/1980/2008</t>
  </si>
  <si>
    <t>EPI_ISL_164052</t>
  </si>
  <si>
    <t>EPI535532 | A/Paris/1981/2009</t>
  </si>
  <si>
    <t>EPI535533 | A/Paris/1981/2009</t>
  </si>
  <si>
    <t>EPI535534 | A/Paris/1981/2009</t>
  </si>
  <si>
    <t>EPI535535 | A/Paris/1981/2009</t>
  </si>
  <si>
    <t>EPI535536 | A/Paris/1981/2009</t>
  </si>
  <si>
    <t>EPI535537 | A/Paris/1981/2009</t>
  </si>
  <si>
    <t>EPI535538 | A/Paris/1981/2009</t>
  </si>
  <si>
    <t>EPI535539 | A/Paris/1981/2009</t>
  </si>
  <si>
    <t>A/Paris/1981/2009</t>
  </si>
  <si>
    <t>EPI_ISL_164053</t>
  </si>
  <si>
    <t>EPI535540 | A/Paris/1983/2009</t>
  </si>
  <si>
    <t>EPI535541 | A/Paris/1983/2009</t>
  </si>
  <si>
    <t>EPI535542 | A/Paris/1983/2009</t>
  </si>
  <si>
    <t>EPI535543 | A/Paris/1983/2009</t>
  </si>
  <si>
    <t>EPI535544 | A/Paris/1983/2009</t>
  </si>
  <si>
    <t>EPI535545 | A/Paris/1983/2009</t>
  </si>
  <si>
    <t>EPI535546 | A/Paris/1983/2009</t>
  </si>
  <si>
    <t>EPI535547 | A/Paris/1983/2009</t>
  </si>
  <si>
    <t>A/Paris/1983/2009</t>
  </si>
  <si>
    <t>EPI_ISL_164054</t>
  </si>
  <si>
    <t>EPI535548 | A/Paris/2285/2009</t>
  </si>
  <si>
    <t>EPI535549 | A/Paris/2285/2009</t>
  </si>
  <si>
    <t>EPI535550 | A/Paris/2285/2009</t>
  </si>
  <si>
    <t>EPI535551 | A/Paris/2285/2009</t>
  </si>
  <si>
    <t>EPI535552 | A/Paris/2285/2009</t>
  </si>
  <si>
    <t>EPI535553 | A/Paris/2285/2009</t>
  </si>
  <si>
    <t>EPI535554 | A/Paris/2285/2009</t>
  </si>
  <si>
    <t>EPI535555 | A/Paris/2285/2009</t>
  </si>
  <si>
    <t>A/Paris/2285/2009</t>
  </si>
  <si>
    <t>EPI_ISL_164059</t>
  </si>
  <si>
    <t>EPI535588 | A/Paris/089/2010</t>
  </si>
  <si>
    <t>EPI535589 | A/Paris/089/2010</t>
  </si>
  <si>
    <t>EPI535590 | A/Paris/089/2010</t>
  </si>
  <si>
    <t>EPI535591 | A/Paris/089/2010</t>
  </si>
  <si>
    <t>EPI535592 | A/Paris/089/2010</t>
  </si>
  <si>
    <t>EPI535593 | A/Paris/089/2010</t>
  </si>
  <si>
    <t>EPI535594 | A/Paris/089/2010</t>
  </si>
  <si>
    <t>EPI535595 | A/Paris/089/2010</t>
  </si>
  <si>
    <t>A/Paris/089/2010</t>
  </si>
  <si>
    <t>EPI_ISL_164057</t>
  </si>
  <si>
    <t>EPI535572 | A/Picardie/129/2011</t>
  </si>
  <si>
    <t>EPI535573 | A/Picardie/129/2011</t>
  </si>
  <si>
    <t>EPI535574 | A/Picardie/129/2011</t>
  </si>
  <si>
    <t>EPI535575 | A/Picardie/129/2011</t>
  </si>
  <si>
    <t>EPI535576 | A/Picardie/129/2011</t>
  </si>
  <si>
    <t>EPI535577 | A/Picardie/129/2011</t>
  </si>
  <si>
    <t>EPI535578 | A/Picardie/129/2011</t>
  </si>
  <si>
    <t>EPI535579 | A/Picardie/129/2011</t>
  </si>
  <si>
    <t>A/Picardie/129/2011</t>
  </si>
  <si>
    <t>EPI_ISL_164060</t>
  </si>
  <si>
    <t>EPI535596 | A/Caen/216/2011</t>
  </si>
  <si>
    <t>EPI535597 | A/Caen/216/2011</t>
  </si>
  <si>
    <t>EPI535598 | A/Caen/216/2011</t>
  </si>
  <si>
    <t>EPI535599 | A/Caen/216/2011</t>
  </si>
  <si>
    <t>EPI535600 | A/Caen/216/2011</t>
  </si>
  <si>
    <t>EPI535601 | A/Caen/216/2011</t>
  </si>
  <si>
    <t>EPI535602 | A/Caen/216/2011</t>
  </si>
  <si>
    <t>EPI535603 | A/Caen/216/2011</t>
  </si>
  <si>
    <t>A/Caen/216/2011</t>
  </si>
  <si>
    <t>EPI_ISL_164061</t>
  </si>
  <si>
    <t>EPI535604 | A/Franche Comte/513/2012</t>
  </si>
  <si>
    <t>EPI535605 | A/Franche Comte/513/2012</t>
  </si>
  <si>
    <t>EPI535606 | A/Franche Comte/513/2012</t>
  </si>
  <si>
    <t>EPI535607 | A/Franche Comte/513/2012</t>
  </si>
  <si>
    <t>EPI535608 | A/Franche Comte/513/2012</t>
  </si>
  <si>
    <t>EPI535609 | A/Franche Comte/513/2012</t>
  </si>
  <si>
    <t>EPI535610 | A/Franche Comte/513/2012</t>
  </si>
  <si>
    <t>EPI535611 | A/Franche Comte/513/2012</t>
  </si>
  <si>
    <t>A/Franche Comte/513/2012</t>
  </si>
  <si>
    <t>EPI_ISL_164078</t>
  </si>
  <si>
    <t>EPI535722 | A/Paris/642/2012</t>
  </si>
  <si>
    <t>EPI535723 | A/Paris/642/2012</t>
  </si>
  <si>
    <t>EPI535724 | A/Paris/642/2012</t>
  </si>
  <si>
    <t>EPI535725 | A/Paris/642/2012</t>
  </si>
  <si>
    <t>EPI535726 | A/Paris/642/2012</t>
  </si>
  <si>
    <t>EPI535727 | A/Paris/642/2012</t>
  </si>
  <si>
    <t>EPI535728 | A/Paris/642/2012</t>
  </si>
  <si>
    <t>EPI535729 | A/Paris/642/2012</t>
  </si>
  <si>
    <t>A/Paris/642/2012</t>
  </si>
  <si>
    <t>EPI_ISL_164079</t>
  </si>
  <si>
    <t>EPI535730 | A/Paris/647/2012</t>
  </si>
  <si>
    <t>EPI535731 | A/Paris/647/2012</t>
  </si>
  <si>
    <t>EPI535732 | A/Paris/647/2012</t>
  </si>
  <si>
    <t>EPI535733 | A/Paris/647/2012</t>
  </si>
  <si>
    <t>EPI535734 | A/Paris/647/2012</t>
  </si>
  <si>
    <t>EPI535735 | A/Paris/647/2012</t>
  </si>
  <si>
    <t>EPI535736 | A/Paris/647/2012</t>
  </si>
  <si>
    <t>EPI535737 | A/Paris/647/2012</t>
  </si>
  <si>
    <t>A/Paris/647/2012</t>
  </si>
  <si>
    <t>EPI_ISL_164063</t>
  </si>
  <si>
    <t>EPI535620 | A/Bourgogne/850/2012</t>
  </si>
  <si>
    <t>EPI535621 | A/Bourgogne/850/2012</t>
  </si>
  <si>
    <t>EPI535622 | A/Bourgogne/850/2012</t>
  </si>
  <si>
    <t>EPI535623 | A/Bourgogne/850/2012</t>
  </si>
  <si>
    <t>EPI535624 | A/Bourgogne/850/2012</t>
  </si>
  <si>
    <t>EPI535625 | A/Bourgogne/850/2012</t>
  </si>
  <si>
    <t>EPI535626 | A/Bourgogne/850/2012</t>
  </si>
  <si>
    <t>EPI535627 | A/Bourgogne/850/2012</t>
  </si>
  <si>
    <t>A/Bourgogne/850/2012</t>
  </si>
  <si>
    <t>EPI_ISL_164064</t>
  </si>
  <si>
    <t>EPI535628 | A/Nord Pas de Calais/884/2012</t>
  </si>
  <si>
    <t>EPI535629 | A/Nord Pas de Calais/884/2012</t>
  </si>
  <si>
    <t>EPI535630 | A/Nord Pas de Calais/884/2012</t>
  </si>
  <si>
    <t>EPI535631 | A/Nord Pas de Calais/884/2012</t>
  </si>
  <si>
    <t>EPI535632 | A/Nord Pas de Calais/884/2012</t>
  </si>
  <si>
    <t>EPI535633 | A/Nord Pas de Calais/884/2012</t>
  </si>
  <si>
    <t>EPI535634 | A/Nord Pas de Calais/884/2012</t>
  </si>
  <si>
    <t>EPI535635 | A/Nord Pas de Calais/884/2012</t>
  </si>
  <si>
    <t>A/Nord Pas de Calais/884/2012</t>
  </si>
  <si>
    <t>EPI_ISL_164065</t>
  </si>
  <si>
    <t>EPI535636 | A/Centre/907/2012</t>
  </si>
  <si>
    <t>EPI535637 | A/Centre/907/2012</t>
  </si>
  <si>
    <t>EPI535638 | A/Centre/907/2012</t>
  </si>
  <si>
    <t>EPI535639 | A/Centre/907/2012</t>
  </si>
  <si>
    <t>EPI535640 | A/Centre/907/2012</t>
  </si>
  <si>
    <t>EPI535641 | A/Centre/907/2012</t>
  </si>
  <si>
    <t>EPI535642 | A/Centre/907/2012</t>
  </si>
  <si>
    <t>EPI535643 | A/Centre/907/2012</t>
  </si>
  <si>
    <t>A/Centre/907/2012</t>
  </si>
  <si>
    <t>EPI_ISL_164066</t>
  </si>
  <si>
    <t>EPI535644 | A/Bretagne/924/2012</t>
  </si>
  <si>
    <t>EPI535645 | A/Bretagne/924/2012</t>
  </si>
  <si>
    <t>EPI535646 | A/Bretagne/924/2012</t>
  </si>
  <si>
    <t>EPI535647 | A/Bretagne/924/2012</t>
  </si>
  <si>
    <t>EPI535648 | A/Bretagne/924/2012</t>
  </si>
  <si>
    <t>EPI535649 | A/Bretagne/924/2012</t>
  </si>
  <si>
    <t>EPI535650 | A/Bretagne/924/2012</t>
  </si>
  <si>
    <t>EPI535651 | A/Bretagne/924/2012</t>
  </si>
  <si>
    <t>A/Bretagne/924/2012</t>
  </si>
  <si>
    <t>EPI_ISL_164067</t>
  </si>
  <si>
    <t>EPI535652 | A/Lorraine/992/2012</t>
  </si>
  <si>
    <t>EPI535653 | A/Lorraine/992/2012</t>
  </si>
  <si>
    <t>EPI535654 | A/Lorraine/992/2012</t>
  </si>
  <si>
    <t>EPI535655 | A/Lorraine/992/2012</t>
  </si>
  <si>
    <t>EPI535656 | A/Lorraine/992/2012</t>
  </si>
  <si>
    <t>EPI535657 | A/Lorraine/992/2012</t>
  </si>
  <si>
    <t>EPI535658 | A/Lorraine/992/2012</t>
  </si>
  <si>
    <t>EPI535659 | A/Lorraine/992/2012</t>
  </si>
  <si>
    <t>A/Lorraine/992/2012</t>
  </si>
  <si>
    <t>EPI_ISL_164080</t>
  </si>
  <si>
    <t>EPI535738 | A/Paris/1009/2012</t>
  </si>
  <si>
    <t>EPI535739 | A/Paris/1009/2012</t>
  </si>
  <si>
    <t>EPI535740 | A/Paris/1009/2012</t>
  </si>
  <si>
    <t>EPI535741 | A/Paris/1009/2012</t>
  </si>
  <si>
    <t>EPI535742 | A/Paris/1009/2012</t>
  </si>
  <si>
    <t>EPI535743 | A/Paris/1009/2012</t>
  </si>
  <si>
    <t>EPI535744 | A/Paris/1009/2012</t>
  </si>
  <si>
    <t>EPI535745 | A/Paris/1009/2012</t>
  </si>
  <si>
    <t>A/Paris/1009/2012</t>
  </si>
  <si>
    <t>EPI_ISL_164069</t>
  </si>
  <si>
    <t>EPI535668 | A/Haute Normandie/1026/2012</t>
  </si>
  <si>
    <t>EPI535669 | A/Haute Normandie/1026/2012</t>
  </si>
  <si>
    <t>EPI535670 | A/Haute Normandie/1026/2012</t>
  </si>
  <si>
    <t>EPI535671 | A/Haute Normandie/1026/2012</t>
  </si>
  <si>
    <t>EPI535672 | A/Haute Normandie/1026/2012</t>
  </si>
  <si>
    <t>EPI535673 | A/Haute Normandie/1026/2012</t>
  </si>
  <si>
    <t>EPI535674 | A/Haute Normandie/1026/2012</t>
  </si>
  <si>
    <t>EPI535675 | A/Haute Normandie/1026/2012</t>
  </si>
  <si>
    <t>A/Haute Normandie/1026/2012</t>
  </si>
  <si>
    <t>EPI_ISL_164070</t>
  </si>
  <si>
    <t>EPI535676 | A/Paris/1040/2012</t>
  </si>
  <si>
    <t>EPI535677 | A/Paris/1040/2012</t>
  </si>
  <si>
    <t>EPI535678 | A/Paris/1040/2012</t>
  </si>
  <si>
    <t>EPI535679 | A/Paris/1040/2012</t>
  </si>
  <si>
    <t>EPI535680 | A/Paris/1040/2012</t>
  </si>
  <si>
    <t>EPI535681 | A/Paris/1040/2012</t>
  </si>
  <si>
    <t>EPI535682 | A/Paris/1040/2012</t>
  </si>
  <si>
    <t>EPI535683 | A/Paris/1040/2012</t>
  </si>
  <si>
    <t>A/Paris/1040/2012</t>
  </si>
  <si>
    <t>EPI_ISL_164081</t>
  </si>
  <si>
    <t>EPI535746 | A/Paris/1047/2012</t>
  </si>
  <si>
    <t>EPI535747 | A/Paris/1047/2012</t>
  </si>
  <si>
    <t>EPI535748 | A/Paris/1047/2012</t>
  </si>
  <si>
    <t>EPI535749 | A/Paris/1047/2012</t>
  </si>
  <si>
    <t>EPI535750 | A/Paris/1047/2012</t>
  </si>
  <si>
    <t>EPI535751 | A/Paris/1047/2012</t>
  </si>
  <si>
    <t>EPI535752 | A/Paris/1047/2012</t>
  </si>
  <si>
    <t>EPI535753 | A/Paris/1047/2012</t>
  </si>
  <si>
    <t>A/Paris/1047/2012</t>
  </si>
  <si>
    <t>EPI_ISL_164071</t>
  </si>
  <si>
    <t>EPI535684 | A/Centre/1105/2012</t>
  </si>
  <si>
    <t>EPI535685 | A/Centre/1105/2012</t>
  </si>
  <si>
    <t>EPI535686 | A/Centre/1105/2012</t>
  </si>
  <si>
    <t>EPI535687 | A/Centre/1105/2012</t>
  </si>
  <si>
    <t>EPI535688 | A/Centre/1105/2012</t>
  </si>
  <si>
    <t>EPI535689 | A/Centre/1105/2012</t>
  </si>
  <si>
    <t>EPI535690 | A/Centre/1105/2012</t>
  </si>
  <si>
    <t>EPI535691 | A/Centre/1105/2012</t>
  </si>
  <si>
    <t>A/Centre/1105/2012</t>
  </si>
  <si>
    <t>EPI_ISL_164072</t>
  </si>
  <si>
    <t>EPI535692 | A/Paris/1116/2012</t>
  </si>
  <si>
    <t>EPI535693 | A/Paris/1116/2012</t>
  </si>
  <si>
    <t>EPI535694 | A/Paris/1116/2012</t>
  </si>
  <si>
    <t>EPI535695 | A/Paris/1116/2012</t>
  </si>
  <si>
    <t>EPI535696 | A/Paris/1116/2012</t>
  </si>
  <si>
    <t>EPI535697 | A/Paris/1116/2012</t>
  </si>
  <si>
    <t>EPI535698 | A/Paris/1116/2012</t>
  </si>
  <si>
    <t>EPI535699 | A/Paris/1116/2012</t>
  </si>
  <si>
    <t>A/Paris/1116/2012</t>
  </si>
  <si>
    <t>EPI_ISL_164082</t>
  </si>
  <si>
    <t>EPI535754 | A/Paris/1156/2012</t>
  </si>
  <si>
    <t>EPI535755 | A/Paris/1156/2012</t>
  </si>
  <si>
    <t>EPI535756 | A/Paris/1156/2012</t>
  </si>
  <si>
    <t>EPI535757 | A/Paris/1156/2012</t>
  </si>
  <si>
    <t>EPI535758 | A/Paris/1156/2012</t>
  </si>
  <si>
    <t>EPI535759 | A/Paris/1156/2012</t>
  </si>
  <si>
    <t>EPI535760 | A/Paris/1156/2012</t>
  </si>
  <si>
    <t>EPI535761 | A/Paris/1156/2012</t>
  </si>
  <si>
    <t>A/Paris/1156/2012</t>
  </si>
  <si>
    <t>EPI_ISL_164073</t>
  </si>
  <si>
    <t>EPI535700 | A/Picardie/1208/2012</t>
  </si>
  <si>
    <t>EPI535701 | A/Picardie/1208/2012</t>
  </si>
  <si>
    <t>EPI535702 | A/Picardie/1208/2012</t>
  </si>
  <si>
    <t>EPI535703 | A/Picardie/1208/2012</t>
  </si>
  <si>
    <t>EPI535704 | A/Picardie/1208/2012</t>
  </si>
  <si>
    <t>EPI535705 | A/Picardie/1208/2012</t>
  </si>
  <si>
    <t>EPI535706 | A/Picardie/1208/2012</t>
  </si>
  <si>
    <t>EPI535707 | A/Picardie/1208/2012</t>
  </si>
  <si>
    <t>A/Picardie/1208/2012</t>
  </si>
  <si>
    <t>EPI_ISL_164074</t>
  </si>
  <si>
    <t>EPI535708 | A/Lorraine/1380/2012</t>
  </si>
  <si>
    <t>EPI535709 | A/Lorraine/1380/2012</t>
  </si>
  <si>
    <t>EPI535710 | A/Lorraine/1380/2012</t>
  </si>
  <si>
    <t>EPI535711 | A/Lorraine/1380/2012</t>
  </si>
  <si>
    <t>EPI535712 | A/Lorraine/1380/2012</t>
  </si>
  <si>
    <t>EPI535713 | A/Lorraine/1380/2012</t>
  </si>
  <si>
    <t>EPI535714 | A/Lorraine/1380/2012</t>
  </si>
  <si>
    <t>EPI535715 | A/Lorraine/1380/2012</t>
  </si>
  <si>
    <t>A/Lorraine/1380/2012</t>
  </si>
  <si>
    <t>EPI535207 | A/Paris/194/2007</t>
  </si>
  <si>
    <t>EPI535208 | A/Paris/194/2007</t>
  </si>
  <si>
    <t>EPI535209 | A/Paris/194/2007</t>
  </si>
  <si>
    <t>EPI535210 | A/Paris/194/2007</t>
  </si>
  <si>
    <t>EPI535211 | A/Paris/194/2007</t>
  </si>
  <si>
    <t>EPI535212 | A/Paris/194/2007</t>
  </si>
  <si>
    <t>EPI535213 | A/Paris/194/2007</t>
  </si>
  <si>
    <t>EPI535206 | A/Paris/194/2007</t>
  </si>
  <si>
    <t>A/Paris/194/2007</t>
  </si>
  <si>
    <t>EPI535314 | A/Paris/341/2007</t>
  </si>
  <si>
    <t>EPI535315 | A/Paris/341/2007</t>
  </si>
  <si>
    <t>EPI535316 | A/Paris/341/2007</t>
  </si>
  <si>
    <t>EPI535317 | A/Paris/341/2007</t>
  </si>
  <si>
    <t>EPI535318 | A/Paris/341/2007</t>
  </si>
  <si>
    <t>EPI535319 | A/Paris/341/2007</t>
  </si>
  <si>
    <t>EPI535320 | A/Paris/341/2007</t>
  </si>
  <si>
    <t>EPI535321 | A/Paris/341/2007</t>
  </si>
  <si>
    <t>A/Paris/341/2007</t>
  </si>
  <si>
    <t>EPI535278 | A/Paris/0684/2007</t>
  </si>
  <si>
    <t>EPI535279 | A/Paris/0684/2007</t>
  </si>
  <si>
    <t>EPI535280 | A/Paris/0684/2007</t>
  </si>
  <si>
    <t>EPI535281 | A/Paris/0684/2007</t>
  </si>
  <si>
    <t>EPI535282 | A/Paris/0684/2007</t>
  </si>
  <si>
    <t>EPI535283 | A/Paris/0684/2007</t>
  </si>
  <si>
    <t>EPI535284 | A/Paris/0684/2007</t>
  </si>
  <si>
    <t>A/Paris/684/2007</t>
  </si>
  <si>
    <t>EPI535322 | A/Paris/698/2007</t>
  </si>
  <si>
    <t>EPI535323 | A/Paris/698/2007</t>
  </si>
  <si>
    <t>EPI535324 | A/Paris/698/2007</t>
  </si>
  <si>
    <t>EPI535325 | A/Paris/698/2007</t>
  </si>
  <si>
    <t>EPI535326 | A/Paris/698/2007</t>
  </si>
  <si>
    <t>EPI535327 | A/Paris/698/2007</t>
  </si>
  <si>
    <t>EPI535328 | A/Paris/698/2007</t>
  </si>
  <si>
    <t>EPI535329 | A/Paris/698/2007</t>
  </si>
  <si>
    <t>A/Paris/698/2007</t>
  </si>
  <si>
    <t>EPI535214 | A/Paris/719/2007</t>
  </si>
  <si>
    <t>EPI535215 | A/Paris/719/2007</t>
  </si>
  <si>
    <t>EPI535216 | A/Paris/719/2007</t>
  </si>
  <si>
    <t>EPI535217 | A/Paris/719/2007</t>
  </si>
  <si>
    <t>EPI535218 | A/Paris/719/2007</t>
  </si>
  <si>
    <t>EPI535219 | A/Paris/719/2007</t>
  </si>
  <si>
    <t>EPI535220 | A/Paris/719/2007</t>
  </si>
  <si>
    <t>EPI535221 | A/Paris/719/2007</t>
  </si>
  <si>
    <t>A/Paris/719/2007</t>
  </si>
  <si>
    <t>EPI535285 | A/Paris/832/2007</t>
  </si>
  <si>
    <t>EPI535286 | A/Paris/832/2007</t>
  </si>
  <si>
    <t>EPI535287 | A/Paris/832/2007</t>
  </si>
  <si>
    <t>EPI535288 | A/Paris/832/2007</t>
  </si>
  <si>
    <t>EPI535289 | A/Paris/832/2007</t>
  </si>
  <si>
    <t>EPI535290 | A/Paris/832/2007</t>
  </si>
  <si>
    <t>EPI535291 | A/Paris/832/2007</t>
  </si>
  <si>
    <t>A/Paris/832/2007</t>
  </si>
  <si>
    <t>EPI535330 | A/Paris/857/2007</t>
  </si>
  <si>
    <t>EPI535331 | A/Paris/857/2007</t>
  </si>
  <si>
    <t>EPI535332 | A/Paris/857/2007</t>
  </si>
  <si>
    <t>EPI535333 | A/Paris/857/2007</t>
  </si>
  <si>
    <t>EPI535334 | A/Paris/857/2007</t>
  </si>
  <si>
    <t>EPI535335 | A/Paris/857/2007</t>
  </si>
  <si>
    <t>EPI535336 | A/Paris/857/2007</t>
  </si>
  <si>
    <t>EPI535337 | A/Paris/857/2007</t>
  </si>
  <si>
    <t>A/Paris/857/2007</t>
  </si>
  <si>
    <t>EPI535230 | A/Paris/860/2008</t>
  </si>
  <si>
    <t>EPI535231 | A/Paris/860/2008</t>
  </si>
  <si>
    <t>EPI535232 | A/Paris/860/2008</t>
  </si>
  <si>
    <t>EPI535233 | A/Paris/860/2008</t>
  </si>
  <si>
    <t>EPI535234 | A/Paris/860/2008</t>
  </si>
  <si>
    <t>EPI535235 | A/Paris/860/2008</t>
  </si>
  <si>
    <t>EPI535236 | A/Paris/860/2008</t>
  </si>
  <si>
    <t>EPI535237 | A/Paris/860/2008</t>
  </si>
  <si>
    <t>A/Paris/860/2008</t>
  </si>
  <si>
    <t>EPI535338 | A/Paris/867/2007</t>
  </si>
  <si>
    <t>EPI535339 | A/Paris/867/2007</t>
  </si>
  <si>
    <t>EPI535340 | A/Paris/867/2007</t>
  </si>
  <si>
    <t>EPI535341 | A/Paris/867/2007</t>
  </si>
  <si>
    <t>EPI535342 | A/Paris/867/2007</t>
  </si>
  <si>
    <t>EPI535343 | A/Paris/867/2007</t>
  </si>
  <si>
    <t>EPI535344 | A/Paris/867/2007</t>
  </si>
  <si>
    <t>EPI535345 | A/Paris/867/2007</t>
  </si>
  <si>
    <t>A/Paris/867/2007</t>
  </si>
  <si>
    <t>EPI535222 | A/Paris/869/2007</t>
  </si>
  <si>
    <t>EPI535223 | A/Paris/869/2007</t>
  </si>
  <si>
    <t>EPI535224 | A/Paris/869/2007</t>
  </si>
  <si>
    <t>EPI535225 | A/Paris/869/2007</t>
  </si>
  <si>
    <t>EPI535226 | A/Paris/869/2007</t>
  </si>
  <si>
    <t>EPI535227 | A/Paris/869/2007</t>
  </si>
  <si>
    <t>EPI535228 | A/Paris/869/2007</t>
  </si>
  <si>
    <t>EPI535229 | A/Paris/869/2007</t>
  </si>
  <si>
    <t>A/Paris/869/2007</t>
  </si>
  <si>
    <t>EPI535238 | A/Paris/933/2008</t>
  </si>
  <si>
    <t>EPI535239 | A/Paris/933/2008</t>
  </si>
  <si>
    <t>EPI535240 | A/Paris/933/2008</t>
  </si>
  <si>
    <t>EPI535241 | A/Paris/933/2008</t>
  </si>
  <si>
    <t>EPI535242 | A/Paris/933/2008</t>
  </si>
  <si>
    <t>EPI535243 | A/Paris/933/2008</t>
  </si>
  <si>
    <t>EPI535244 | A/Paris/933/2008</t>
  </si>
  <si>
    <t>EPI535245 | A/Paris/933/2008</t>
  </si>
  <si>
    <t>A/Paris/933/2008</t>
  </si>
  <si>
    <t>EPI535246 | A/Paris/980/2008</t>
  </si>
  <si>
    <t>EPI535247 | A/Paris/980/2008</t>
  </si>
  <si>
    <t>EPI535248 | A/Paris/980/2008</t>
  </si>
  <si>
    <t>EPI535249 | A/Paris/980/2008</t>
  </si>
  <si>
    <t>EPI535250 | A/Paris/980/2008</t>
  </si>
  <si>
    <t>EPI535251 | A/Paris/980/2008</t>
  </si>
  <si>
    <t>EPI535252 | A/Paris/980/2008</t>
  </si>
  <si>
    <t>EPI535253 | A/Paris/980/2008</t>
  </si>
  <si>
    <t>A/Paris/980/2008</t>
  </si>
  <si>
    <t>EPI535254 | A/Paris/1042/2008</t>
  </si>
  <si>
    <t>EPI535255 | A/Paris/1042/2008</t>
  </si>
  <si>
    <t>EPI535256 | A/Paris/1042/2008</t>
  </si>
  <si>
    <t>EPI535257 | A/Paris/1042/2008</t>
  </si>
  <si>
    <t>EPI535258 | A/Paris/1042/2008</t>
  </si>
  <si>
    <t>EPI535259 | A/Paris/1042/2008</t>
  </si>
  <si>
    <t>EPI535260 | A/Paris/1042/2008</t>
  </si>
  <si>
    <t>EPI535261 | A/Paris/1042/2008</t>
  </si>
  <si>
    <t>A/Paris/1042/2008</t>
  </si>
  <si>
    <t>EPI535346 | A/Paris/1054/2008</t>
  </si>
  <si>
    <t>EPI535347 | A/Paris/1054/2008</t>
  </si>
  <si>
    <t>EPI535348 | A/Paris/1054/2008</t>
  </si>
  <si>
    <t>EPI535349 | A/Paris/1054/2008</t>
  </si>
  <si>
    <t>EPI535350 | A/Paris/1054/2008</t>
  </si>
  <si>
    <t>EPI535351 | A/Paris/1054/2008</t>
  </si>
  <si>
    <t>EPI535352 | A/Paris/1054/2008</t>
  </si>
  <si>
    <t>EPI535353 | A/Paris/1054/2008</t>
  </si>
  <si>
    <t>A/Paris/1054/2008</t>
  </si>
  <si>
    <t>EPI535262 | A/Paris/1084/2008</t>
  </si>
  <si>
    <t>EPI535263 | A/Paris/1084/2008</t>
  </si>
  <si>
    <t>EPI535264 | A/Paris/1084/2008</t>
  </si>
  <si>
    <t>EPI535265 | A/Paris/1084/2008</t>
  </si>
  <si>
    <t>EPI535266 | A/Paris/1084/2008</t>
  </si>
  <si>
    <t>EPI535267 | A/Paris/1084/2008</t>
  </si>
  <si>
    <t>EPI535268 | A/Paris/1084/2008</t>
  </si>
  <si>
    <t>EPI535269 | A/Paris/1084/2008</t>
  </si>
  <si>
    <t>A/Paris/1084/2008</t>
  </si>
  <si>
    <t>EPI535270 | A/Paris/1149/2008</t>
  </si>
  <si>
    <t>EPI535271 | A/Paris/1149/2008</t>
  </si>
  <si>
    <t>EPI535272 | A/Paris/1149/2008</t>
  </si>
  <si>
    <t>EPI535273 | A/Paris/1149/2008</t>
  </si>
  <si>
    <t>EPI535274 | A/Paris/1149/2008</t>
  </si>
  <si>
    <t>EPI535275 | A/Paris/1149/2008</t>
  </si>
  <si>
    <t>EPI535276 | A/Paris/1149/2008</t>
  </si>
  <si>
    <t>EPI535277 | A/Paris/1149/2008</t>
  </si>
  <si>
    <t>A/Paris/1149/2008</t>
  </si>
  <si>
    <t>EPI535362 | A/Paris/1154/2008</t>
  </si>
  <si>
    <t>EPI535363 | A/Paris/1154/2008</t>
  </si>
  <si>
    <t>EPI535364 | A/Paris/1154/2008</t>
  </si>
  <si>
    <t>EPI535365 | A/Paris/1154/2008</t>
  </si>
  <si>
    <t>EPI535366 | A/Paris/1154/2008</t>
  </si>
  <si>
    <t>EPI535367 | A/Paris/1154/2008</t>
  </si>
  <si>
    <t>EPI535368 | A/Paris/1154/2008</t>
  </si>
  <si>
    <t>EPI535369 | A/Paris/1154/2008</t>
  </si>
  <si>
    <t>A/Paris/1154/2008</t>
  </si>
  <si>
    <t>EPI535292 | A/Paris/1164/2008</t>
  </si>
  <si>
    <t>EPI535293 | A/Paris/1164/2008</t>
  </si>
  <si>
    <t>EPI535294 | A/Paris/1164/2008</t>
  </si>
  <si>
    <t>EPI535295 | A/Paris/1164/2008</t>
  </si>
  <si>
    <t>EPI535296 | A/Paris/1164/2008</t>
  </si>
  <si>
    <t>EPI535297 | A/Paris/1164/2008</t>
  </si>
  <si>
    <t>EPI535298 | A/Paris/1164/2008</t>
  </si>
  <si>
    <t>A/Paris/1164/2008</t>
  </si>
  <si>
    <t>EPI535354 | A/Paris/1170/2008</t>
  </si>
  <si>
    <t>EPI535355 | A/Paris/1170/2008</t>
  </si>
  <si>
    <t>EPI535356 | A/Paris/1170/2008</t>
  </si>
  <si>
    <t>EPI535357 | A/Paris/1170/2008</t>
  </si>
  <si>
    <t>EPI535358 | A/Paris/1170/2008</t>
  </si>
  <si>
    <t>EPI535359 | A/Paris/1170/2008</t>
  </si>
  <si>
    <t>EPI535360 | A/Paris/1170/2008</t>
  </si>
  <si>
    <t>EPI535361 | A/Paris/1170/2008</t>
  </si>
  <si>
    <t>A/Paris/1170/2008</t>
  </si>
  <si>
    <t>EPI535299 | A/Paris/1207/2008</t>
  </si>
  <si>
    <t>EPI535300 | A/Paris/1207/2008</t>
  </si>
  <si>
    <t>EPI535301 | A/Paris/1207/2008</t>
  </si>
  <si>
    <t>EPI535302 | A/Paris/1207/2008</t>
  </si>
  <si>
    <t>EPI535303 | A/Paris/1207/2008</t>
  </si>
  <si>
    <t>EPI535304 | A/Paris/1207/2008</t>
  </si>
  <si>
    <t>EPI535305 | A/Paris/1207/2008</t>
  </si>
  <si>
    <t>A/Paris/1207/2008</t>
  </si>
  <si>
    <t>EPI535370 | A/Paris/1212/2008</t>
  </si>
  <si>
    <t>EPI535371 | A/Paris/1212/2008</t>
  </si>
  <si>
    <t>EPI535372 | A/Paris/1212/2008</t>
  </si>
  <si>
    <t>EPI535373 | A/Paris/1212/2008</t>
  </si>
  <si>
    <t>EPI535374 | A/Paris/1212/2008</t>
  </si>
  <si>
    <t>EPI535375 | A/Paris/1212/2008</t>
  </si>
  <si>
    <t>EPI535376 | A/Paris/1212/2008</t>
  </si>
  <si>
    <t>EPI535377 | A/Paris/1212/2008</t>
  </si>
  <si>
    <t>A/Paris/1212/2008</t>
  </si>
  <si>
    <t>EPI535378 | A/Paris/224/2008</t>
  </si>
  <si>
    <t>EPI535379 | A/Paris/224/2008</t>
  </si>
  <si>
    <t>EPI535380 | A/Paris/224/2008</t>
  </si>
  <si>
    <t>EPI535381 | A/Paris/224/2008</t>
  </si>
  <si>
    <t>EPI535382 | A/Paris/224/2008</t>
  </si>
  <si>
    <t>EPI535383 | A/Paris/224/2008</t>
  </si>
  <si>
    <t>EPI535384 | A/Paris/224/2008</t>
  </si>
  <si>
    <t>EPI535385 | A/Paris/224/2008</t>
  </si>
  <si>
    <t>A/Paris/224/2008</t>
  </si>
  <si>
    <t>EPI535410 | A/Paris/639/2008</t>
  </si>
  <si>
    <t>EPI535411 | A/Paris/639/2008</t>
  </si>
  <si>
    <t>EPI535412 | A/Paris/639/2008</t>
  </si>
  <si>
    <t>EPI535413 | A/Paris/639/2008</t>
  </si>
  <si>
    <t>EPI535414 | A/Paris/639/2008</t>
  </si>
  <si>
    <t>EPI535415 | A/Paris/639/2008</t>
  </si>
  <si>
    <t>EPI535416 | A/Paris/639/2008</t>
  </si>
  <si>
    <t>A/Paris/639/2008</t>
  </si>
  <si>
    <t>EPI535386 | A/Paris/816/2008</t>
  </si>
  <si>
    <t>EPI535387 | A/Paris/816/2008</t>
  </si>
  <si>
    <t>EPI535388 | A/Paris/816/2008</t>
  </si>
  <si>
    <t>EPI535389 | A/Paris/816/2008</t>
  </si>
  <si>
    <t>EPI535390 | A/Paris/816/2008</t>
  </si>
  <si>
    <t>EPI535391 | A/Paris/816/2008</t>
  </si>
  <si>
    <t>EPI535392 | A/Paris/816/2008</t>
  </si>
  <si>
    <t>EPI535393 | A/Paris/816/2008</t>
  </si>
  <si>
    <t>A/Paris/816/2008</t>
  </si>
  <si>
    <t>EPI535394 | A/Paris/1349/2009</t>
  </si>
  <si>
    <t>EPI535395 | A/Paris/1349/2009</t>
  </si>
  <si>
    <t>EPI535396 | A/Paris/1349/2009</t>
  </si>
  <si>
    <t>EPI535397 | A/Paris/1349/2009</t>
  </si>
  <si>
    <t>EPI535398 | A/Paris/1349/2009</t>
  </si>
  <si>
    <t>EPI535399 | A/Paris/1349/2009</t>
  </si>
  <si>
    <t>EPI535400 | A/Paris/1349/2009</t>
  </si>
  <si>
    <t>EPI535401 | A/Paris/1349/2009</t>
  </si>
  <si>
    <t>A/Paris/1349/2009</t>
  </si>
  <si>
    <t>EPI535402 | A/Paris/1939/2009</t>
  </si>
  <si>
    <t>EPI535403 | A/Paris/1939/2009</t>
  </si>
  <si>
    <t>EPI535404 | A/Paris/1939/2009</t>
  </si>
  <si>
    <t>EPI535405 | A/Paris/1939/2009</t>
  </si>
  <si>
    <t>EPI535406 | A/Paris/1939/2009</t>
  </si>
  <si>
    <t>EPI535407 | A/Paris/1939/2009</t>
  </si>
  <si>
    <t>EPI535408 | A/Paris/1939/2009</t>
  </si>
  <si>
    <t>EPI535409 | A/Paris/1939/2009</t>
  </si>
  <si>
    <t>A/Paris/1939/2009</t>
  </si>
  <si>
    <t>EPI535306 | A/Paris/1940/2008</t>
  </si>
  <si>
    <t>EPI535307 | A/Paris/1940/2008</t>
  </si>
  <si>
    <t>EPI535308 | A/Paris/1940/2008</t>
  </si>
  <si>
    <t>EPI535309 | A/Paris/1940/2008</t>
  </si>
  <si>
    <t>EPI535310 | A/Paris/1940/2008</t>
  </si>
  <si>
    <t>EPI535311 | A/Paris/1940/2008</t>
  </si>
  <si>
    <t>EPI535312 | A/Paris/1940/2008</t>
  </si>
  <si>
    <t>EPI535313 | A/Paris/1940/2008</t>
  </si>
  <si>
    <t>A/Paris/1940/2008</t>
  </si>
  <si>
    <t>EPI_ISL_164009</t>
  </si>
  <si>
    <t>EPI_ISL_164023</t>
  </si>
  <si>
    <t>EPI_ISL_164018</t>
  </si>
  <si>
    <t>EPI_ISL_164024</t>
  </si>
  <si>
    <t>EPI_ISL_164010</t>
  </si>
  <si>
    <t>EPI_ISL_164019</t>
  </si>
  <si>
    <t>EPI_ISL_164025</t>
  </si>
  <si>
    <t>EPI_ISL_164012</t>
  </si>
  <si>
    <t>EPI_ISL_164026</t>
  </si>
  <si>
    <t>EPI_ISL_164011</t>
  </si>
  <si>
    <t>EPI_ISL_164013</t>
  </si>
  <si>
    <t>EPI_ISL_164014</t>
  </si>
  <si>
    <t>EPI_ISL_164015</t>
  </si>
  <si>
    <t>EPI_ISL_164027</t>
  </si>
  <si>
    <t>EPI_ISL_164016</t>
  </si>
  <si>
    <t>EPI_ISL_164017</t>
  </si>
  <si>
    <t>EPI_ISL_164029</t>
  </si>
  <si>
    <t>EPI_ISL_164020</t>
  </si>
  <si>
    <t>EPI_ISL_164028</t>
  </si>
  <si>
    <t>EPI_ISL_164021</t>
  </si>
  <si>
    <t>EPI_ISL_164030</t>
  </si>
  <si>
    <t>EPI_ISL_164031</t>
  </si>
  <si>
    <t>EPI_ISL_164035</t>
  </si>
  <si>
    <t>EPI_ISL_164032</t>
  </si>
  <si>
    <t>EPI_ISL_164033</t>
  </si>
  <si>
    <t>EPI_ISL_164034</t>
  </si>
  <si>
    <t>EPI_ISL_164022</t>
  </si>
  <si>
    <t>Number of reads mapped on sample consensus sequence</t>
  </si>
  <si>
    <t>Number of reads</t>
  </si>
  <si>
    <t>before cleaning</t>
  </si>
  <si>
    <t>after 3rd cleaning</t>
  </si>
  <si>
    <t>Run information</t>
  </si>
  <si>
    <t>season</t>
  </si>
  <si>
    <t>Run data for the 27 influenza A virus samples of seasonal H1N1 subtype (sH1N1)</t>
  </si>
  <si>
    <t>Run data for the 35 influenza A virus samples of seasonal H3N2 subtype (sH3N2)</t>
  </si>
  <si>
    <t>Run data for the 38 influenza A virus samples of pandemic H1N1 subtype (pH1N1)</t>
  </si>
  <si>
    <r>
      <rPr>
        <b/>
        <sz val="12"/>
        <color theme="1"/>
        <rFont val="Calibri"/>
        <family val="2"/>
        <scheme val="minor"/>
      </rPr>
      <t>set</t>
    </r>
    <r>
      <rPr>
        <sz val="12"/>
        <color theme="1"/>
        <rFont val="Calibri"/>
        <family val="2"/>
        <scheme val="minor"/>
      </rPr>
      <t>: when overlapping PCR were used for PB2, PB1, PA and HA, the 12 PCR products were separated into two sets (named A and B), each being tagged independently; after 2nd cleaning, sets A and B were processed together of 3rd cleaning (A+B)</t>
    </r>
  </si>
  <si>
    <r>
      <rPr>
        <b/>
        <sz val="12"/>
        <color theme="1"/>
        <rFont val="Calibri"/>
        <family val="2"/>
        <scheme val="minor"/>
      </rPr>
      <t>3rd cleaning</t>
    </r>
    <r>
      <rPr>
        <sz val="12"/>
        <color theme="1"/>
        <rFont val="Calibri"/>
        <family val="2"/>
        <scheme val="minor"/>
      </rPr>
      <t>: non-influenza A viruses manipulated in the lab</t>
    </r>
  </si>
  <si>
    <r>
      <rPr>
        <b/>
        <sz val="12"/>
        <color theme="1"/>
        <rFont val="Calibri"/>
        <family val="2"/>
        <scheme val="minor"/>
      </rPr>
      <t>na</t>
    </r>
    <r>
      <rPr>
        <sz val="12"/>
        <color theme="1"/>
        <rFont val="Calibri"/>
        <family val="2"/>
        <scheme val="minor"/>
      </rPr>
      <t>: not included in the set</t>
    </r>
  </si>
  <si>
    <r>
      <rPr>
        <b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>: no data (no PCR product)</t>
    </r>
  </si>
  <si>
    <t>LoFreq</t>
  </si>
  <si>
    <t>ViVan</t>
  </si>
  <si>
    <t>Thr None</t>
  </si>
  <si>
    <t>Thr 0.003</t>
  </si>
  <si>
    <t>Thr 0.005</t>
  </si>
  <si>
    <t>Thr 0.01</t>
  </si>
  <si>
    <t>Venn Thr None</t>
  </si>
  <si>
    <t>Venn Thr 0.003</t>
  </si>
  <si>
    <t>Venn Thr 0.005</t>
  </si>
  <si>
    <t>Venn Thr 0.01</t>
  </si>
  <si>
    <t>souche</t>
  </si>
  <si>
    <t>Avg Cov.</t>
  </si>
  <si>
    <t>Common</t>
  </si>
  <si>
    <t>PB2_sH1N1</t>
  </si>
  <si>
    <t>Coverage</t>
  </si>
  <si>
    <t>Global Mutation Frequency</t>
  </si>
  <si>
    <t>Number of variant positions</t>
  </si>
  <si>
    <t>Calculated values for the 27 influenza A virus samples of seasonal H1N1 subtype (sH1N1)</t>
  </si>
  <si>
    <t>PB1_sH1N1</t>
  </si>
  <si>
    <t>PA_sH1N1</t>
  </si>
  <si>
    <t>HA_sH1N1</t>
  </si>
  <si>
    <t>NP_sH1N1</t>
  </si>
  <si>
    <t>NA_sH1N1</t>
  </si>
  <si>
    <t>MP_sH1N1</t>
  </si>
  <si>
    <t>NS_sH1N1</t>
  </si>
  <si>
    <r>
      <rPr>
        <b/>
        <sz val="12"/>
        <color theme="1"/>
        <rFont val="Calibri"/>
        <family val="2"/>
        <scheme val="minor"/>
      </rPr>
      <t>n.a.</t>
    </r>
    <r>
      <rPr>
        <sz val="12"/>
        <color theme="1"/>
        <rFont val="Calibri"/>
        <family val="2"/>
        <scheme val="minor"/>
      </rPr>
      <t>: not applicable (no PCR product or coverage below 100x)</t>
    </r>
  </si>
  <si>
    <r>
      <rPr>
        <b/>
        <sz val="12"/>
        <color theme="1"/>
        <rFont val="Calibri"/>
        <family val="2"/>
        <scheme val="minor"/>
      </rPr>
      <t xml:space="preserve">Avg Cov.: </t>
    </r>
    <r>
      <rPr>
        <sz val="12"/>
        <color theme="1"/>
        <rFont val="Calibri"/>
        <family val="2"/>
        <scheme val="minor"/>
      </rPr>
      <t xml:space="preserve">average coverage; </t>
    </r>
    <r>
      <rPr>
        <b/>
        <sz val="12"/>
        <color theme="1"/>
        <rFont val="Calibri"/>
        <family val="2"/>
        <scheme val="minor"/>
      </rPr>
      <t>Thr:</t>
    </r>
    <r>
      <rPr>
        <sz val="12"/>
        <color theme="1"/>
        <rFont val="Calibri"/>
        <family val="2"/>
        <scheme val="minor"/>
      </rPr>
      <t xml:space="preserve"> threshold</t>
    </r>
  </si>
  <si>
    <t>when no variant positions were detected at a given threshold, an arbitrary Global Mutation Frequency was allocated, being below the lowest calculated values, to avoid the 0 value in graphs</t>
  </si>
  <si>
    <t>PB2_sH3N2</t>
  </si>
  <si>
    <t>PB1_sH3N2</t>
  </si>
  <si>
    <t>PA_sH3N2</t>
  </si>
  <si>
    <t>HA_sH3N2</t>
  </si>
  <si>
    <t>NP_sH3N2</t>
  </si>
  <si>
    <t>NA_sH3N2</t>
  </si>
  <si>
    <t>MP_sH3N2</t>
  </si>
  <si>
    <t>NS_sH3N2</t>
  </si>
  <si>
    <t>PB2_pH1N1</t>
  </si>
  <si>
    <t>PB1_pH1N1</t>
  </si>
  <si>
    <t>PA_pH1N1</t>
  </si>
  <si>
    <t>HA_pH1N1</t>
  </si>
  <si>
    <t>NP_pH1N1</t>
  </si>
  <si>
    <t>NA_pH1N1</t>
  </si>
  <si>
    <t>MP_pH1N1</t>
  </si>
  <si>
    <t>NS_pH1N1</t>
  </si>
  <si>
    <r>
      <rPr>
        <b/>
        <sz val="12"/>
        <color theme="1"/>
        <rFont val="Calibri"/>
        <family val="2"/>
        <scheme val="minor"/>
      </rPr>
      <t>season</t>
    </r>
    <r>
      <rPr>
        <sz val="12"/>
        <color theme="1"/>
        <rFont val="Calibri"/>
        <family val="2"/>
        <scheme val="minor"/>
      </rPr>
      <t>: influenza surveillance season between October and March</t>
    </r>
  </si>
  <si>
    <r>
      <rPr>
        <b/>
        <sz val="12"/>
        <color theme="1"/>
        <rFont val="Calibri"/>
        <family val="2"/>
        <scheme val="minor"/>
      </rPr>
      <t>date of symptoms onset</t>
    </r>
    <r>
      <rPr>
        <sz val="12"/>
        <color theme="1"/>
        <rFont val="Calibri"/>
        <family val="2"/>
        <scheme val="minor"/>
      </rPr>
      <t xml:space="preserve"> as declared by patient; n.a., not available</t>
    </r>
  </si>
  <si>
    <r>
      <rPr>
        <b/>
        <sz val="12"/>
        <color theme="1"/>
        <rFont val="Calibri"/>
        <family val="2"/>
        <scheme val="minor"/>
      </rPr>
      <t>viral load</t>
    </r>
    <r>
      <rPr>
        <sz val="12"/>
        <color theme="1"/>
        <rFont val="Calibri"/>
        <family val="2"/>
        <scheme val="minor"/>
      </rPr>
      <t>: Ct values obtained by RT-qPCR targeting the M gene (multiplexed RT-qPCR routinely used by the National Influenza Centre for diagnosis); n.a., not available</t>
    </r>
  </si>
  <si>
    <t>symptoms onset date</t>
  </si>
  <si>
    <t>viral load</t>
  </si>
  <si>
    <t>group</t>
  </si>
  <si>
    <t>Characteristics of the 27 influenza A virus samples of seasonal H1N1 (sH1N1)</t>
  </si>
  <si>
    <r>
      <rPr>
        <b/>
        <sz val="12"/>
        <color theme="1"/>
        <rFont val="Calibri"/>
        <family val="2"/>
        <scheme val="minor"/>
      </rPr>
      <t>group</t>
    </r>
    <r>
      <rPr>
        <sz val="12"/>
        <color theme="1"/>
        <rFont val="Calibri"/>
        <family val="2"/>
        <scheme val="minor"/>
      </rPr>
      <t>: based on amino acid position 275 in the neuraminidase protein; H, sensitive to oseltamivir; Y, resistant to oseltamivir</t>
    </r>
  </si>
  <si>
    <t>virus load</t>
  </si>
  <si>
    <t>Characteristics of the 35 influenza A virus samples of seasonal H3N2 (sH3N2)</t>
  </si>
  <si>
    <r>
      <rPr>
        <b/>
        <sz val="12"/>
        <color theme="1"/>
        <rFont val="Calibri"/>
        <family val="2"/>
        <scheme val="minor"/>
      </rPr>
      <t>virus load</t>
    </r>
    <r>
      <rPr>
        <sz val="12"/>
        <color theme="1"/>
        <rFont val="Calibri"/>
        <family val="2"/>
        <scheme val="minor"/>
      </rPr>
      <t>: Ct values obtained by RT-qPCR targeting the M gene (multiplexed RT-qPCR routinely used by the National Influenza Centre for diagnosis); n.a., not available</t>
    </r>
  </si>
  <si>
    <r>
      <rPr>
        <b/>
        <sz val="12"/>
        <color theme="1"/>
        <rFont val="Calibri"/>
        <family val="2"/>
        <scheme val="minor"/>
      </rPr>
      <t>group</t>
    </r>
    <r>
      <rPr>
        <sz val="12"/>
        <color theme="1"/>
        <rFont val="Calibri"/>
        <family val="2"/>
        <scheme val="minor"/>
      </rPr>
      <t>: based on disease severity; mild: community case sampled by GROG network; severe: hospital case with external respiratory assistance required, sampled by RENAL network</t>
    </r>
  </si>
  <si>
    <t>Characteristics of the 39 influenza A virus samples of pandemic H1N1pdm09 (pH1N1)</t>
  </si>
  <si>
    <r>
      <rPr>
        <b/>
        <sz val="12"/>
        <color theme="1"/>
        <rFont val="Calibri"/>
        <family val="2"/>
        <scheme val="minor"/>
      </rPr>
      <t>1st cleaning</t>
    </r>
    <r>
      <rPr>
        <sz val="12"/>
        <color theme="1"/>
        <rFont val="Calibri"/>
        <family val="2"/>
        <scheme val="minor"/>
      </rPr>
      <t>: illumina contaminants (adapters) and phred &lt; 30</t>
    </r>
  </si>
  <si>
    <r>
      <rPr>
        <b/>
        <sz val="12"/>
        <color theme="1"/>
        <rFont val="Calibri"/>
        <family val="2"/>
        <scheme val="minor"/>
      </rPr>
      <t>2nd cleaning</t>
    </r>
    <r>
      <rPr>
        <sz val="12"/>
        <color theme="1"/>
        <rFont val="Calibri"/>
        <family val="2"/>
        <scheme val="minor"/>
      </rPr>
      <t>: PCR primers and influenza A virus genome segment sequences not covered by PCR included in the set, and phred &lt; 30</t>
    </r>
  </si>
  <si>
    <t>genomic segment</t>
  </si>
  <si>
    <t>lowest calculated value for each genomic segment</t>
  </si>
  <si>
    <t>Supplementary Table 1</t>
  </si>
  <si>
    <t>Sheet '-run-data' provides the information about the Next Generation Sequencing runs and the analysis process, and the accession numbers of the consensus sequence in GISAID.</t>
  </si>
  <si>
    <t>Sheet '-samples' provides epidemiological data about the respiratory specimens (including sampling date, patient age).</t>
  </si>
  <si>
    <t>Sheet '-values' provides the global mutation frequencies calculated for each genomic segment of each sample, based on each analysing pipeline (ViVAN or LoFreq) and with or without setting a mutation frequency threshold for the individual variant in the considered segment.</t>
  </si>
  <si>
    <t>There are 3 sheets for each virus subtype (sH1N1, sH3N2, pH1N1).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</si>
</sst>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;@"/>
  </numFmts>
  <fonts count="9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29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5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3" fontId="1" fillId="0" borderId="0" xfId="0" applyNumberFormat="1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0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/>
    </xf>
    <xf numFmtId="3" fontId="1" fillId="3" borderId="0" xfId="0" applyNumberFormat="1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4" fillId="3" borderId="0" xfId="0" applyNumberFormat="1" applyFon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3" fontId="1" fillId="3" borderId="6" xfId="0" applyNumberFormat="1" applyFont="1" applyFill="1" applyBorder="1" applyAlignment="1">
      <alignment horizontal="center"/>
    </xf>
    <xf numFmtId="3" fontId="1" fillId="3" borderId="7" xfId="0" applyNumberFormat="1" applyFont="1" applyFill="1" applyBorder="1" applyAlignment="1">
      <alignment horizontal="center"/>
    </xf>
    <xf numFmtId="3" fontId="1" fillId="3" borderId="8" xfId="0" applyNumberFormat="1" applyFont="1" applyFill="1" applyBorder="1" applyAlignment="1">
      <alignment horizontal="center"/>
    </xf>
    <xf numFmtId="3" fontId="4" fillId="3" borderId="7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2" fontId="0" fillId="2" borderId="5" xfId="0" applyNumberFormat="1" applyFill="1" applyBorder="1" applyAlignment="1">
      <alignment horizontal="center"/>
    </xf>
    <xf numFmtId="3" fontId="4" fillId="2" borderId="5" xfId="0" applyNumberFormat="1" applyFon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3" fontId="4" fillId="3" borderId="5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3" fontId="4" fillId="3" borderId="8" xfId="0" applyNumberFormat="1" applyFon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4" borderId="0" xfId="0" applyFill="1"/>
    <xf numFmtId="0" fontId="7" fillId="0" borderId="0" xfId="0" applyFont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1" fontId="0" fillId="0" borderId="0" xfId="0" applyNumberFormat="1" applyAlignment="1">
      <alignment horizontal="center"/>
    </xf>
    <xf numFmtId="11" fontId="7" fillId="0" borderId="0" xfId="0" applyNumberFormat="1" applyFont="1" applyAlignment="1">
      <alignment horizontal="center"/>
    </xf>
    <xf numFmtId="11" fontId="0" fillId="4" borderId="0" xfId="0" applyNumberFormat="1" applyFill="1" applyAlignment="1">
      <alignment horizontal="center"/>
    </xf>
    <xf numFmtId="0" fontId="5" fillId="0" borderId="6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1" fontId="0" fillId="0" borderId="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11" fontId="0" fillId="0" borderId="0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11" fontId="7" fillId="0" borderId="0" xfId="0" applyNumberFormat="1" applyFont="1" applyBorder="1" applyAlignment="1">
      <alignment horizontal="center"/>
    </xf>
    <xf numFmtId="11" fontId="7" fillId="0" borderId="5" xfId="0" applyNumberFormat="1" applyFont="1" applyBorder="1" applyAlignment="1">
      <alignment horizontal="center"/>
    </xf>
    <xf numFmtId="11" fontId="0" fillId="0" borderId="5" xfId="0" applyNumberFormat="1" applyFill="1" applyBorder="1" applyAlignment="1">
      <alignment horizontal="center"/>
    </xf>
    <xf numFmtId="11" fontId="0" fillId="0" borderId="0" xfId="0" applyNumberFormat="1" applyFill="1" applyBorder="1" applyAlignment="1">
      <alignment horizontal="center"/>
    </xf>
    <xf numFmtId="11" fontId="0" fillId="4" borderId="0" xfId="0" applyNumberFormat="1" applyFill="1" applyBorder="1" applyAlignment="1">
      <alignment horizontal="center"/>
    </xf>
    <xf numFmtId="11" fontId="0" fillId="4" borderId="5" xfId="0" applyNumberFormat="1" applyFill="1" applyBorder="1" applyAlignment="1">
      <alignment horizontal="center"/>
    </xf>
    <xf numFmtId="11" fontId="7" fillId="0" borderId="4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1" fontId="0" fillId="0" borderId="14" xfId="0" applyNumberFormat="1" applyBorder="1" applyAlignment="1">
      <alignment horizontal="center"/>
    </xf>
    <xf numFmtId="11" fontId="0" fillId="0" borderId="15" xfId="0" applyNumberFormat="1" applyBorder="1" applyAlignment="1">
      <alignment horizontal="center"/>
    </xf>
    <xf numFmtId="11" fontId="7" fillId="0" borderId="14" xfId="0" applyNumberFormat="1" applyFont="1" applyBorder="1" applyAlignment="1">
      <alignment horizontal="center"/>
    </xf>
    <xf numFmtId="11" fontId="7" fillId="0" borderId="15" xfId="0" applyNumberFormat="1" applyFont="1" applyBorder="1" applyAlignment="1">
      <alignment horizontal="center"/>
    </xf>
    <xf numFmtId="11" fontId="0" fillId="4" borderId="15" xfId="0" applyNumberFormat="1" applyFill="1" applyBorder="1" applyAlignment="1">
      <alignment horizontal="center"/>
    </xf>
    <xf numFmtId="11" fontId="0" fillId="4" borderId="14" xfId="0" applyNumberForma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12" xfId="0" applyNumberFormat="1" applyBorder="1" applyAlignment="1">
      <alignment horizontal="center"/>
    </xf>
    <xf numFmtId="11" fontId="0" fillId="0" borderId="13" xfId="0" applyNumberFormat="1" applyBorder="1" applyAlignment="1">
      <alignment horizontal="center"/>
    </xf>
    <xf numFmtId="11" fontId="0" fillId="0" borderId="8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1" fontId="8" fillId="0" borderId="0" xfId="0" applyNumberFormat="1" applyFont="1" applyAlignment="1">
      <alignment horizontal="center"/>
    </xf>
    <xf numFmtId="11" fontId="8" fillId="0" borderId="14" xfId="0" applyNumberFormat="1" applyFont="1" applyBorder="1" applyAlignment="1">
      <alignment horizontal="center"/>
    </xf>
    <xf numFmtId="11" fontId="8" fillId="0" borderId="15" xfId="0" applyNumberFormat="1" applyFont="1" applyBorder="1" applyAlignment="1">
      <alignment horizontal="center"/>
    </xf>
    <xf numFmtId="11" fontId="8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/>
  </cellXfs>
  <cellStyles count="29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/>
  </sheetViews>
  <sheetFormatPr defaultRowHeight="15.75" x14ac:dyDescent="0.25"/>
  <sheetData>
    <row r="1" spans="1:1" x14ac:dyDescent="0.25">
      <c r="A1" s="174" t="s">
        <v>1135</v>
      </c>
    </row>
    <row r="3" spans="1:1" x14ac:dyDescent="0.25">
      <c r="A3" t="s">
        <v>1139</v>
      </c>
    </row>
    <row r="4" spans="1:1" x14ac:dyDescent="0.25">
      <c r="A4" t="s">
        <v>1137</v>
      </c>
    </row>
    <row r="5" spans="1:1" x14ac:dyDescent="0.25">
      <c r="A5" t="s">
        <v>1136</v>
      </c>
    </row>
    <row r="6" spans="1:1" x14ac:dyDescent="0.25">
      <c r="A6" t="s">
        <v>1138</v>
      </c>
    </row>
  </sheetData>
  <sheetProtection algorithmName="SHA-512" hashValue="1U5REAd14QMnsCMxe51fLQ8KEp4Tn/aCbvJ5lk+GqtABnD8nfqup/BVtJD7usnKCmiGwaOLz1oSRRJcRyt8Hxg==" saltValue="MH+pq9RrvIXQbYnajVcOAg==" spinCount="100000" sheet="1" objects="1" scenarios="1" formatCells="0" formatColumns="0" formatRow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37"/>
  <sheetViews>
    <sheetView workbookViewId="0"/>
  </sheetViews>
  <sheetFormatPr defaultRowHeight="15.75" x14ac:dyDescent="0.25"/>
  <cols>
    <col min="1" max="1" width="10.875" customWidth="1"/>
    <col min="2" max="3" width="7" customWidth="1"/>
    <col min="5" max="5" width="11.25" customWidth="1"/>
    <col min="6" max="6" width="14.875" customWidth="1"/>
    <col min="7" max="7" width="6.5" customWidth="1"/>
  </cols>
  <sheetData>
    <row r="1" spans="1:9" ht="21" x14ac:dyDescent="0.35">
      <c r="A1" s="9" t="s">
        <v>1124</v>
      </c>
    </row>
    <row r="3" spans="1:9" x14ac:dyDescent="0.25">
      <c r="A3" t="s">
        <v>1118</v>
      </c>
    </row>
    <row r="4" spans="1:9" x14ac:dyDescent="0.25">
      <c r="A4" t="s">
        <v>1119</v>
      </c>
    </row>
    <row r="5" spans="1:9" x14ac:dyDescent="0.25">
      <c r="A5" t="s">
        <v>1120</v>
      </c>
    </row>
    <row r="6" spans="1:9" x14ac:dyDescent="0.25">
      <c r="A6" t="s">
        <v>1125</v>
      </c>
    </row>
    <row r="9" spans="1:9" x14ac:dyDescent="0.25">
      <c r="A9" s="161" t="s">
        <v>1066</v>
      </c>
      <c r="B9" s="173" t="s">
        <v>42</v>
      </c>
      <c r="C9" s="173"/>
      <c r="D9" s="173"/>
      <c r="E9" s="161" t="s">
        <v>43</v>
      </c>
      <c r="F9" s="163" t="s">
        <v>1121</v>
      </c>
      <c r="G9" s="161" t="s">
        <v>44</v>
      </c>
      <c r="H9" s="161" t="s">
        <v>1122</v>
      </c>
      <c r="I9" s="161" t="s">
        <v>1123</v>
      </c>
    </row>
    <row r="10" spans="1:9" x14ac:dyDescent="0.25">
      <c r="A10" s="162"/>
      <c r="B10" s="80" t="s">
        <v>45</v>
      </c>
      <c r="C10" s="80" t="s">
        <v>46</v>
      </c>
      <c r="D10" s="80" t="s">
        <v>47</v>
      </c>
      <c r="E10" s="162"/>
      <c r="F10" s="164"/>
      <c r="G10" s="162"/>
      <c r="H10" s="162"/>
      <c r="I10" s="162"/>
    </row>
    <row r="11" spans="1:9" x14ac:dyDescent="0.25">
      <c r="A11" s="2" t="s">
        <v>48</v>
      </c>
      <c r="B11" s="2">
        <v>2007</v>
      </c>
      <c r="C11" s="2">
        <v>43</v>
      </c>
      <c r="D11" s="84">
        <v>39377</v>
      </c>
      <c r="E11" s="2">
        <v>20080194</v>
      </c>
      <c r="F11" s="84">
        <v>39374</v>
      </c>
      <c r="G11" s="2">
        <v>37</v>
      </c>
      <c r="H11" s="2" t="s">
        <v>49</v>
      </c>
      <c r="I11" s="2" t="s">
        <v>50</v>
      </c>
    </row>
    <row r="12" spans="1:9" x14ac:dyDescent="0.25">
      <c r="A12" s="2"/>
      <c r="B12" s="2">
        <v>2007</v>
      </c>
      <c r="C12" s="2">
        <v>46</v>
      </c>
      <c r="D12" s="84">
        <v>39398</v>
      </c>
      <c r="E12" s="2">
        <v>20080341</v>
      </c>
      <c r="F12" s="84">
        <v>39397</v>
      </c>
      <c r="G12" s="2">
        <v>44</v>
      </c>
      <c r="H12" s="2" t="s">
        <v>49</v>
      </c>
      <c r="I12" s="2" t="s">
        <v>51</v>
      </c>
    </row>
    <row r="13" spans="1:9" x14ac:dyDescent="0.25">
      <c r="A13" s="2"/>
      <c r="B13" s="2">
        <v>2007</v>
      </c>
      <c r="C13" s="2">
        <v>50</v>
      </c>
      <c r="D13" s="84">
        <v>39429</v>
      </c>
      <c r="E13" s="2">
        <v>20080698</v>
      </c>
      <c r="F13" s="84">
        <v>39428</v>
      </c>
      <c r="G13" s="2">
        <v>53</v>
      </c>
      <c r="H13" s="2" t="s">
        <v>49</v>
      </c>
      <c r="I13" s="2" t="s">
        <v>51</v>
      </c>
    </row>
    <row r="14" spans="1:9" x14ac:dyDescent="0.25">
      <c r="A14" s="2"/>
      <c r="B14" s="2">
        <v>2007</v>
      </c>
      <c r="C14" s="2">
        <v>50</v>
      </c>
      <c r="D14" s="84">
        <v>39430</v>
      </c>
      <c r="E14" s="2">
        <v>20080684</v>
      </c>
      <c r="F14" s="84">
        <v>39429</v>
      </c>
      <c r="G14" s="2">
        <v>4</v>
      </c>
      <c r="H14" s="2" t="s">
        <v>49</v>
      </c>
      <c r="I14" s="2" t="s">
        <v>50</v>
      </c>
    </row>
    <row r="15" spans="1:9" x14ac:dyDescent="0.25">
      <c r="A15" s="2"/>
      <c r="B15" s="2">
        <v>2007</v>
      </c>
      <c r="C15" s="2">
        <v>51</v>
      </c>
      <c r="D15" s="84">
        <v>39433</v>
      </c>
      <c r="E15" s="2">
        <v>20080719</v>
      </c>
      <c r="F15" s="84">
        <v>39432</v>
      </c>
      <c r="G15" s="2">
        <v>43</v>
      </c>
      <c r="H15" s="2" t="s">
        <v>49</v>
      </c>
      <c r="I15" s="2" t="s">
        <v>50</v>
      </c>
    </row>
    <row r="16" spans="1:9" x14ac:dyDescent="0.25">
      <c r="A16" s="2"/>
      <c r="B16" s="2">
        <v>2007</v>
      </c>
      <c r="C16" s="2">
        <v>52</v>
      </c>
      <c r="D16" s="84">
        <v>39443</v>
      </c>
      <c r="E16" s="2">
        <v>20080832</v>
      </c>
      <c r="F16" s="84">
        <v>39443</v>
      </c>
      <c r="G16" s="2">
        <v>81</v>
      </c>
      <c r="H16" s="2" t="s">
        <v>49</v>
      </c>
      <c r="I16" s="2" t="s">
        <v>50</v>
      </c>
    </row>
    <row r="17" spans="1:9" x14ac:dyDescent="0.25">
      <c r="A17" s="2"/>
      <c r="B17" s="2">
        <v>2007</v>
      </c>
      <c r="C17" s="2">
        <v>52</v>
      </c>
      <c r="D17" s="84">
        <v>39445</v>
      </c>
      <c r="E17" s="2">
        <v>20080857</v>
      </c>
      <c r="F17" s="84">
        <v>39443</v>
      </c>
      <c r="G17" s="2">
        <v>19</v>
      </c>
      <c r="H17" s="2" t="s">
        <v>49</v>
      </c>
      <c r="I17" s="2" t="s">
        <v>51</v>
      </c>
    </row>
    <row r="18" spans="1:9" x14ac:dyDescent="0.25">
      <c r="A18" s="2"/>
      <c r="B18" s="2">
        <v>2007</v>
      </c>
      <c r="C18" s="2">
        <v>52</v>
      </c>
      <c r="D18" s="84">
        <v>39446</v>
      </c>
      <c r="E18" s="2">
        <v>20080869</v>
      </c>
      <c r="F18" s="84">
        <v>39445</v>
      </c>
      <c r="G18" s="2">
        <v>41</v>
      </c>
      <c r="H18" s="2" t="s">
        <v>49</v>
      </c>
      <c r="I18" s="2" t="s">
        <v>50</v>
      </c>
    </row>
    <row r="19" spans="1:9" x14ac:dyDescent="0.25">
      <c r="A19" s="2"/>
      <c r="B19" s="2">
        <v>2007</v>
      </c>
      <c r="C19" s="2">
        <v>1</v>
      </c>
      <c r="D19" s="84">
        <v>39447</v>
      </c>
      <c r="E19" s="2">
        <v>20080867</v>
      </c>
      <c r="F19" s="84">
        <v>39446</v>
      </c>
      <c r="G19" s="2">
        <v>23</v>
      </c>
      <c r="H19" s="2" t="s">
        <v>49</v>
      </c>
      <c r="I19" s="2" t="s">
        <v>51</v>
      </c>
    </row>
    <row r="20" spans="1:9" x14ac:dyDescent="0.25">
      <c r="A20" s="2"/>
      <c r="B20" s="2">
        <v>2008</v>
      </c>
      <c r="C20" s="2">
        <v>1</v>
      </c>
      <c r="D20" s="84">
        <v>39449</v>
      </c>
      <c r="E20" s="2">
        <v>20080860</v>
      </c>
      <c r="F20" s="84" t="s">
        <v>49</v>
      </c>
      <c r="G20" s="2">
        <v>43</v>
      </c>
      <c r="H20" s="2" t="s">
        <v>49</v>
      </c>
      <c r="I20" s="2" t="s">
        <v>50</v>
      </c>
    </row>
    <row r="21" spans="1:9" x14ac:dyDescent="0.25">
      <c r="A21" s="2"/>
      <c r="B21" s="2">
        <v>2008</v>
      </c>
      <c r="C21" s="2">
        <v>1</v>
      </c>
      <c r="D21" s="84">
        <v>39451</v>
      </c>
      <c r="E21" s="2">
        <v>20080933</v>
      </c>
      <c r="F21" s="84">
        <v>39449</v>
      </c>
      <c r="G21" s="2">
        <v>20</v>
      </c>
      <c r="H21" s="2" t="s">
        <v>49</v>
      </c>
      <c r="I21" s="2" t="s">
        <v>50</v>
      </c>
    </row>
    <row r="22" spans="1:9" x14ac:dyDescent="0.25">
      <c r="A22" s="2"/>
      <c r="B22" s="2">
        <v>2008</v>
      </c>
      <c r="C22" s="2">
        <v>2</v>
      </c>
      <c r="D22" s="84">
        <v>39454</v>
      </c>
      <c r="E22" s="2">
        <v>20080980</v>
      </c>
      <c r="F22" s="84">
        <v>39453</v>
      </c>
      <c r="G22" s="2">
        <v>27</v>
      </c>
      <c r="H22" s="2" t="s">
        <v>49</v>
      </c>
      <c r="I22" s="2" t="s">
        <v>50</v>
      </c>
    </row>
    <row r="23" spans="1:9" x14ac:dyDescent="0.25">
      <c r="A23" s="2"/>
      <c r="B23" s="2">
        <v>2008</v>
      </c>
      <c r="C23" s="2">
        <v>2</v>
      </c>
      <c r="D23" s="84">
        <v>39456</v>
      </c>
      <c r="E23" s="2">
        <v>20081042</v>
      </c>
      <c r="F23" s="84">
        <v>39456</v>
      </c>
      <c r="G23" s="2">
        <v>2</v>
      </c>
      <c r="H23" s="2" t="s">
        <v>49</v>
      </c>
      <c r="I23" s="2" t="s">
        <v>50</v>
      </c>
    </row>
    <row r="24" spans="1:9" x14ac:dyDescent="0.25">
      <c r="A24" s="2"/>
      <c r="B24" s="2">
        <v>2008</v>
      </c>
      <c r="C24" s="2">
        <v>2</v>
      </c>
      <c r="D24" s="84">
        <v>39456</v>
      </c>
      <c r="E24" s="2">
        <v>20081054</v>
      </c>
      <c r="F24" s="84">
        <v>39454</v>
      </c>
      <c r="G24" s="2">
        <v>18</v>
      </c>
      <c r="H24" s="2" t="s">
        <v>49</v>
      </c>
      <c r="I24" s="2" t="s">
        <v>51</v>
      </c>
    </row>
    <row r="25" spans="1:9" x14ac:dyDescent="0.25">
      <c r="A25" s="2"/>
      <c r="B25" s="2">
        <v>2008</v>
      </c>
      <c r="C25" s="2">
        <v>2</v>
      </c>
      <c r="D25" s="84">
        <v>39458</v>
      </c>
      <c r="E25" s="2">
        <v>20081084</v>
      </c>
      <c r="F25" s="84">
        <v>39456</v>
      </c>
      <c r="G25" s="2">
        <v>5</v>
      </c>
      <c r="H25" s="2" t="s">
        <v>49</v>
      </c>
      <c r="I25" s="2" t="s">
        <v>50</v>
      </c>
    </row>
    <row r="26" spans="1:9" x14ac:dyDescent="0.25">
      <c r="A26" s="2"/>
      <c r="B26" s="2">
        <v>2008</v>
      </c>
      <c r="C26" s="2">
        <v>2</v>
      </c>
      <c r="D26" s="84">
        <v>39458</v>
      </c>
      <c r="E26" s="2">
        <v>20081149</v>
      </c>
      <c r="F26" s="84">
        <v>39457</v>
      </c>
      <c r="G26" s="2">
        <v>3</v>
      </c>
      <c r="H26" s="2" t="s">
        <v>49</v>
      </c>
      <c r="I26" s="2" t="s">
        <v>50</v>
      </c>
    </row>
    <row r="27" spans="1:9" x14ac:dyDescent="0.25">
      <c r="A27" s="2"/>
      <c r="B27" s="2">
        <v>2008</v>
      </c>
      <c r="C27" s="2">
        <v>3</v>
      </c>
      <c r="D27" s="84">
        <v>39461</v>
      </c>
      <c r="E27" s="2">
        <v>20081170</v>
      </c>
      <c r="F27" s="84">
        <v>39460</v>
      </c>
      <c r="G27" s="2">
        <v>23</v>
      </c>
      <c r="H27" s="2" t="s">
        <v>49</v>
      </c>
      <c r="I27" s="2" t="s">
        <v>51</v>
      </c>
    </row>
    <row r="28" spans="1:9" x14ac:dyDescent="0.25">
      <c r="A28" s="2"/>
      <c r="B28" s="2">
        <v>2008</v>
      </c>
      <c r="C28" s="2">
        <v>3</v>
      </c>
      <c r="D28" s="84">
        <v>39462</v>
      </c>
      <c r="E28" s="2">
        <v>20081164</v>
      </c>
      <c r="F28" s="84">
        <v>39461</v>
      </c>
      <c r="G28" s="2">
        <v>45</v>
      </c>
      <c r="H28" s="2" t="s">
        <v>49</v>
      </c>
      <c r="I28" s="2" t="s">
        <v>50</v>
      </c>
    </row>
    <row r="29" spans="1:9" x14ac:dyDescent="0.25">
      <c r="A29" s="2"/>
      <c r="B29" s="2">
        <v>2008</v>
      </c>
      <c r="C29" s="2">
        <v>3</v>
      </c>
      <c r="D29" s="84">
        <v>39462</v>
      </c>
      <c r="E29" s="2">
        <v>20081154</v>
      </c>
      <c r="F29" s="84">
        <v>39459</v>
      </c>
      <c r="G29" s="2">
        <v>16</v>
      </c>
      <c r="H29" s="2" t="s">
        <v>49</v>
      </c>
      <c r="I29" s="2" t="s">
        <v>51</v>
      </c>
    </row>
    <row r="30" spans="1:9" x14ac:dyDescent="0.25">
      <c r="A30" s="2"/>
      <c r="B30" s="2">
        <v>2008</v>
      </c>
      <c r="C30" s="2">
        <v>3</v>
      </c>
      <c r="D30" s="84">
        <v>39463</v>
      </c>
      <c r="E30" s="2">
        <v>20081207</v>
      </c>
      <c r="F30" s="84">
        <v>39462</v>
      </c>
      <c r="G30" s="2">
        <v>4</v>
      </c>
      <c r="H30" s="2" t="s">
        <v>49</v>
      </c>
      <c r="I30" s="2" t="s">
        <v>50</v>
      </c>
    </row>
    <row r="31" spans="1:9" x14ac:dyDescent="0.25">
      <c r="A31" s="81"/>
      <c r="B31" s="81">
        <v>2008</v>
      </c>
      <c r="C31" s="81">
        <v>3</v>
      </c>
      <c r="D31" s="85">
        <v>39463</v>
      </c>
      <c r="E31" s="81">
        <v>20081212</v>
      </c>
      <c r="F31" s="85">
        <v>39454</v>
      </c>
      <c r="G31" s="81">
        <v>22</v>
      </c>
      <c r="H31" s="81" t="s">
        <v>49</v>
      </c>
      <c r="I31" s="81" t="s">
        <v>51</v>
      </c>
    </row>
    <row r="32" spans="1:9" x14ac:dyDescent="0.25">
      <c r="A32" s="2" t="s">
        <v>52</v>
      </c>
      <c r="B32" s="2">
        <v>2008</v>
      </c>
      <c r="C32" s="2">
        <v>45</v>
      </c>
      <c r="D32" s="84">
        <v>39757</v>
      </c>
      <c r="E32" s="2">
        <v>20090224</v>
      </c>
      <c r="F32" s="84">
        <v>39755</v>
      </c>
      <c r="G32" s="2">
        <v>38</v>
      </c>
      <c r="H32" s="2" t="s">
        <v>49</v>
      </c>
      <c r="I32" s="2" t="s">
        <v>51</v>
      </c>
    </row>
    <row r="33" spans="1:9" x14ac:dyDescent="0.25">
      <c r="A33" s="2"/>
      <c r="B33" s="2">
        <v>2008</v>
      </c>
      <c r="C33" s="2">
        <v>51</v>
      </c>
      <c r="D33" s="84">
        <v>39797</v>
      </c>
      <c r="E33" s="2">
        <v>20090639</v>
      </c>
      <c r="F33" s="84">
        <v>39794</v>
      </c>
      <c r="G33" s="2">
        <v>16</v>
      </c>
      <c r="H33" s="2" t="s">
        <v>49</v>
      </c>
      <c r="I33" s="2" t="s">
        <v>51</v>
      </c>
    </row>
    <row r="34" spans="1:9" x14ac:dyDescent="0.25">
      <c r="A34" s="2"/>
      <c r="B34" s="2">
        <v>2008</v>
      </c>
      <c r="C34" s="2">
        <v>52</v>
      </c>
      <c r="D34" s="84">
        <v>39805</v>
      </c>
      <c r="E34" s="2">
        <v>20090816</v>
      </c>
      <c r="F34" s="84">
        <v>39804</v>
      </c>
      <c r="G34" s="2">
        <v>5</v>
      </c>
      <c r="H34" s="2" t="s">
        <v>49</v>
      </c>
      <c r="I34" s="2" t="s">
        <v>51</v>
      </c>
    </row>
    <row r="35" spans="1:9" x14ac:dyDescent="0.25">
      <c r="A35" s="2"/>
      <c r="B35" s="2">
        <v>2008</v>
      </c>
      <c r="C35" s="2">
        <v>52</v>
      </c>
      <c r="D35" s="84">
        <v>39808</v>
      </c>
      <c r="E35" s="2">
        <v>20091940</v>
      </c>
      <c r="F35" s="84" t="s">
        <v>49</v>
      </c>
      <c r="G35" s="2">
        <v>2</v>
      </c>
      <c r="H35" s="2" t="s">
        <v>49</v>
      </c>
      <c r="I35" s="2" t="s">
        <v>50</v>
      </c>
    </row>
    <row r="36" spans="1:9" x14ac:dyDescent="0.25">
      <c r="A36" s="2"/>
      <c r="B36" s="2">
        <v>2009</v>
      </c>
      <c r="C36" s="2">
        <v>3</v>
      </c>
      <c r="D36" s="84">
        <v>39829</v>
      </c>
      <c r="E36" s="2">
        <v>20091349</v>
      </c>
      <c r="F36" s="84">
        <v>39829</v>
      </c>
      <c r="G36" s="2">
        <v>32</v>
      </c>
      <c r="H36" s="2" t="s">
        <v>49</v>
      </c>
      <c r="I36" s="2" t="s">
        <v>51</v>
      </c>
    </row>
    <row r="37" spans="1:9" x14ac:dyDescent="0.25">
      <c r="A37" s="81"/>
      <c r="B37" s="81">
        <v>2009</v>
      </c>
      <c r="C37" s="81">
        <v>9</v>
      </c>
      <c r="D37" s="85">
        <v>39870</v>
      </c>
      <c r="E37" s="81">
        <v>20091939</v>
      </c>
      <c r="F37" s="85" t="s">
        <v>49</v>
      </c>
      <c r="G37" s="81">
        <v>5</v>
      </c>
      <c r="H37" s="81" t="s">
        <v>49</v>
      </c>
      <c r="I37" s="81" t="s">
        <v>51</v>
      </c>
    </row>
  </sheetData>
  <sheetProtection algorithmName="SHA-512" hashValue="v75YUH9Z51/HY6ZOGFGh0X2p91s2gYlwEtv9LbeXkI7kL/fdJ3c5cfv6WZBo0Q2gB4AHlRvu0lYIIVSdW+JAXg==" saltValue="7bCvUbbjWBHYP/KF8e3O2g==" spinCount="100000" sheet="1" objects="1" scenarios="1" formatCells="0" formatColumns="0" formatRows="0"/>
  <mergeCells count="7">
    <mergeCell ref="H9:H10"/>
    <mergeCell ref="I9:I10"/>
    <mergeCell ref="B9:D9"/>
    <mergeCell ref="A9:A10"/>
    <mergeCell ref="E9:E10"/>
    <mergeCell ref="F9:F10"/>
    <mergeCell ref="G9:G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F117"/>
  <sheetViews>
    <sheetView zoomScaleNormal="100" workbookViewId="0">
      <pane xSplit="2" ySplit="12" topLeftCell="C13" activePane="bottomRight" state="frozen"/>
      <selection pane="topRight" activeCell="C1" sqref="C1"/>
      <selection pane="bottomLeft" activeCell="A12" sqref="A12"/>
      <selection pane="bottomRight"/>
    </sheetView>
  </sheetViews>
  <sheetFormatPr defaultColWidth="11.25" defaultRowHeight="15.75" x14ac:dyDescent="0.25"/>
  <cols>
    <col min="1" max="1" width="12.625" style="2" customWidth="1"/>
    <col min="2" max="2" width="6.75" style="2" customWidth="1"/>
    <col min="3" max="3" width="14.625" style="2" customWidth="1"/>
    <col min="4" max="4" width="5.5" style="2" customWidth="1"/>
    <col min="5" max="5" width="10.625" style="2" customWidth="1"/>
    <col min="6" max="10" width="9.875" style="2" bestFit="1" customWidth="1"/>
    <col min="11" max="13" width="8.875" style="2" bestFit="1" customWidth="1"/>
    <col min="14" max="16" width="7.375" style="2" bestFit="1" customWidth="1"/>
    <col min="17" max="17" width="8.875" style="2" bestFit="1" customWidth="1"/>
    <col min="18" max="18" width="7.375" style="2" bestFit="1" customWidth="1"/>
    <col min="19" max="19" width="9.625" style="2" bestFit="1" customWidth="1"/>
    <col min="20" max="20" width="8.375" style="2" customWidth="1"/>
    <col min="21" max="21" width="8.125" style="2" customWidth="1"/>
    <col min="22" max="22" width="6.875" style="2" customWidth="1"/>
    <col min="23" max="23" width="14.125" customWidth="1"/>
    <col min="24" max="31" width="10.375" customWidth="1"/>
    <col min="32" max="32" width="22.375" customWidth="1"/>
  </cols>
  <sheetData>
    <row r="1" spans="1:32" ht="21" x14ac:dyDescent="0.35">
      <c r="A1" s="9" t="s">
        <v>1067</v>
      </c>
      <c r="B1" s="6"/>
      <c r="C1" s="6"/>
    </row>
    <row r="2" spans="1:32" x14ac:dyDescent="0.25">
      <c r="A2" s="6"/>
      <c r="B2" s="6"/>
      <c r="C2" s="6"/>
    </row>
    <row r="3" spans="1:32" x14ac:dyDescent="0.25">
      <c r="A3" s="6" t="s">
        <v>1070</v>
      </c>
      <c r="B3" s="6"/>
      <c r="C3" s="6"/>
    </row>
    <row r="4" spans="1:32" x14ac:dyDescent="0.25">
      <c r="A4" s="6" t="s">
        <v>1131</v>
      </c>
      <c r="B4" s="6"/>
      <c r="C4" s="6"/>
    </row>
    <row r="5" spans="1:32" x14ac:dyDescent="0.25">
      <c r="A5" s="6" t="s">
        <v>1132</v>
      </c>
      <c r="B5" s="6"/>
      <c r="C5" s="6"/>
    </row>
    <row r="6" spans="1:32" x14ac:dyDescent="0.25">
      <c r="A6" s="6" t="s">
        <v>1071</v>
      </c>
      <c r="B6" s="6"/>
      <c r="C6" s="6"/>
    </row>
    <row r="7" spans="1:32" x14ac:dyDescent="0.25">
      <c r="A7" s="6" t="s">
        <v>1072</v>
      </c>
      <c r="B7" s="6"/>
      <c r="C7" s="6"/>
    </row>
    <row r="8" spans="1:32" x14ac:dyDescent="0.25">
      <c r="A8" s="6" t="s">
        <v>1073</v>
      </c>
      <c r="B8" s="6"/>
      <c r="C8" s="6"/>
    </row>
    <row r="9" spans="1:32" x14ac:dyDescent="0.25">
      <c r="A9" s="6"/>
      <c r="B9" s="6"/>
      <c r="C9" s="6"/>
    </row>
    <row r="11" spans="1:32" s="9" customFormat="1" ht="21" x14ac:dyDescent="0.35">
      <c r="A11" s="8"/>
      <c r="B11" s="8"/>
      <c r="C11" s="165" t="s">
        <v>1065</v>
      </c>
      <c r="D11" s="166"/>
      <c r="E11" s="167"/>
      <c r="F11" s="165" t="s">
        <v>1062</v>
      </c>
      <c r="G11" s="166"/>
      <c r="H11" s="166"/>
      <c r="I11" s="167"/>
      <c r="J11" s="165" t="s">
        <v>1061</v>
      </c>
      <c r="K11" s="166"/>
      <c r="L11" s="166"/>
      <c r="M11" s="166"/>
      <c r="N11" s="166"/>
      <c r="O11" s="166"/>
      <c r="P11" s="166"/>
      <c r="Q11" s="166"/>
      <c r="R11" s="167"/>
      <c r="S11" s="165" t="s">
        <v>450</v>
      </c>
      <c r="T11" s="166"/>
      <c r="U11" s="166"/>
      <c r="V11" s="167"/>
      <c r="W11" s="165" t="s">
        <v>449</v>
      </c>
      <c r="X11" s="166"/>
      <c r="Y11" s="166"/>
      <c r="Z11" s="166"/>
      <c r="AA11" s="166"/>
      <c r="AB11" s="166"/>
      <c r="AC11" s="166"/>
      <c r="AD11" s="166"/>
      <c r="AE11" s="166"/>
      <c r="AF11" s="167"/>
    </row>
    <row r="12" spans="1:32" s="7" customFormat="1" ht="38.25" customHeight="1" x14ac:dyDescent="0.25">
      <c r="A12" s="89" t="s">
        <v>0</v>
      </c>
      <c r="B12" s="90" t="s">
        <v>1</v>
      </c>
      <c r="C12" s="91" t="s">
        <v>2</v>
      </c>
      <c r="D12" s="83" t="s">
        <v>4</v>
      </c>
      <c r="E12" s="92" t="s">
        <v>3</v>
      </c>
      <c r="F12" s="93" t="s">
        <v>1063</v>
      </c>
      <c r="G12" s="94" t="s">
        <v>451</v>
      </c>
      <c r="H12" s="94" t="s">
        <v>452</v>
      </c>
      <c r="I12" s="95" t="s">
        <v>1064</v>
      </c>
      <c r="J12" s="91" t="s">
        <v>5</v>
      </c>
      <c r="K12" s="83" t="s">
        <v>6</v>
      </c>
      <c r="L12" s="83" t="s">
        <v>7</v>
      </c>
      <c r="M12" s="83" t="s">
        <v>8</v>
      </c>
      <c r="N12" s="83" t="s">
        <v>9</v>
      </c>
      <c r="O12" s="83" t="s">
        <v>11</v>
      </c>
      <c r="P12" s="83" t="s">
        <v>10</v>
      </c>
      <c r="Q12" s="83" t="s">
        <v>12</v>
      </c>
      <c r="R12" s="92" t="s">
        <v>13</v>
      </c>
      <c r="S12" s="93" t="s">
        <v>451</v>
      </c>
      <c r="T12" s="94" t="s">
        <v>453</v>
      </c>
      <c r="U12" s="94" t="s">
        <v>454</v>
      </c>
      <c r="V12" s="95" t="s">
        <v>455</v>
      </c>
      <c r="W12" s="96" t="s">
        <v>59</v>
      </c>
      <c r="X12" s="97" t="s">
        <v>60</v>
      </c>
      <c r="Y12" s="97" t="s">
        <v>61</v>
      </c>
      <c r="Z12" s="97" t="s">
        <v>62</v>
      </c>
      <c r="AA12" s="97" t="s">
        <v>63</v>
      </c>
      <c r="AB12" s="97" t="s">
        <v>64</v>
      </c>
      <c r="AC12" s="97" t="s">
        <v>65</v>
      </c>
      <c r="AD12" s="97" t="s">
        <v>66</v>
      </c>
      <c r="AE12" s="97" t="s">
        <v>67</v>
      </c>
      <c r="AF12" s="98" t="s">
        <v>68</v>
      </c>
    </row>
    <row r="13" spans="1:32" s="1" customFormat="1" x14ac:dyDescent="0.25">
      <c r="A13" s="41">
        <v>20080194</v>
      </c>
      <c r="B13" s="42" t="s">
        <v>14</v>
      </c>
      <c r="C13" s="43" t="s">
        <v>16</v>
      </c>
      <c r="D13" s="44">
        <v>7</v>
      </c>
      <c r="E13" s="45" t="s">
        <v>15</v>
      </c>
      <c r="F13" s="46">
        <v>2535165</v>
      </c>
      <c r="G13" s="47">
        <v>2325969</v>
      </c>
      <c r="H13" s="47">
        <v>1712250</v>
      </c>
      <c r="I13" s="48"/>
      <c r="J13" s="46">
        <v>1700894</v>
      </c>
      <c r="K13" s="47">
        <v>291565</v>
      </c>
      <c r="L13" s="47">
        <v>453453</v>
      </c>
      <c r="M13" s="47">
        <v>217460</v>
      </c>
      <c r="N13" s="47">
        <v>282469</v>
      </c>
      <c r="O13" s="47">
        <v>162897</v>
      </c>
      <c r="P13" s="47" t="s">
        <v>19</v>
      </c>
      <c r="Q13" s="47">
        <v>293043</v>
      </c>
      <c r="R13" s="48" t="s">
        <v>19</v>
      </c>
      <c r="S13" s="50">
        <f>(G13/F13)*100</f>
        <v>91.748229405186649</v>
      </c>
      <c r="T13" s="51">
        <f>(H13/G13)*100</f>
        <v>73.614480674505984</v>
      </c>
      <c r="U13" s="52"/>
      <c r="V13" s="42"/>
      <c r="W13" s="53" t="s">
        <v>1034</v>
      </c>
      <c r="X13" s="54" t="s">
        <v>796</v>
      </c>
      <c r="Y13" s="54" t="s">
        <v>797</v>
      </c>
      <c r="Z13" s="54" t="s">
        <v>798</v>
      </c>
      <c r="AA13" s="54" t="s">
        <v>799</v>
      </c>
      <c r="AB13" s="54" t="s">
        <v>800</v>
      </c>
      <c r="AC13" s="54" t="s">
        <v>801</v>
      </c>
      <c r="AD13" s="54" t="s">
        <v>802</v>
      </c>
      <c r="AE13" s="54" t="s">
        <v>803</v>
      </c>
      <c r="AF13" s="55" t="s">
        <v>804</v>
      </c>
    </row>
    <row r="14" spans="1:32" s="1" customFormat="1" x14ac:dyDescent="0.25">
      <c r="A14" s="41"/>
      <c r="B14" s="42" t="s">
        <v>17</v>
      </c>
      <c r="C14" s="43" t="s">
        <v>16</v>
      </c>
      <c r="D14" s="44">
        <v>7</v>
      </c>
      <c r="E14" s="45" t="s">
        <v>18</v>
      </c>
      <c r="F14" s="46">
        <v>3760532</v>
      </c>
      <c r="G14" s="47">
        <v>3464059</v>
      </c>
      <c r="H14" s="47">
        <v>2520592</v>
      </c>
      <c r="I14" s="48"/>
      <c r="J14" s="46">
        <v>2511910</v>
      </c>
      <c r="K14" s="47">
        <v>380809</v>
      </c>
      <c r="L14" s="47">
        <v>552930</v>
      </c>
      <c r="M14" s="49">
        <v>449339</v>
      </c>
      <c r="N14" s="47">
        <v>408925</v>
      </c>
      <c r="O14" s="47" t="s">
        <v>19</v>
      </c>
      <c r="P14" s="47">
        <v>394183</v>
      </c>
      <c r="Q14" s="47" t="s">
        <v>19</v>
      </c>
      <c r="R14" s="48">
        <v>325719</v>
      </c>
      <c r="S14" s="50">
        <f>(G14/F14)*100</f>
        <v>92.116195261734248</v>
      </c>
      <c r="T14" s="51">
        <f>(H14/G14)*100</f>
        <v>72.764118625000336</v>
      </c>
      <c r="U14" s="52"/>
      <c r="V14" s="42"/>
      <c r="W14" s="53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2" s="1" customFormat="1" x14ac:dyDescent="0.25">
      <c r="A15" s="41"/>
      <c r="B15" s="42" t="s">
        <v>29</v>
      </c>
      <c r="C15" s="43"/>
      <c r="D15" s="44"/>
      <c r="E15" s="45"/>
      <c r="F15" s="46"/>
      <c r="G15" s="47"/>
      <c r="H15" s="47">
        <v>4232842</v>
      </c>
      <c r="I15" s="48">
        <v>4226131</v>
      </c>
      <c r="J15" s="46">
        <v>4212797</v>
      </c>
      <c r="K15" s="47">
        <v>672374</v>
      </c>
      <c r="L15" s="47">
        <v>1006382</v>
      </c>
      <c r="M15" s="49">
        <v>666797</v>
      </c>
      <c r="N15" s="47">
        <v>691394</v>
      </c>
      <c r="O15" s="47">
        <v>162901</v>
      </c>
      <c r="P15" s="47">
        <v>394185</v>
      </c>
      <c r="Q15" s="47">
        <v>294044</v>
      </c>
      <c r="R15" s="48">
        <v>325720</v>
      </c>
      <c r="S15" s="41"/>
      <c r="T15" s="52"/>
      <c r="U15" s="51">
        <f t="shared" ref="U15" si="0">(I15/H15)*100</f>
        <v>99.841454039626328</v>
      </c>
      <c r="V15" s="73">
        <f>(I15/(F13+F14))*100</f>
        <v>67.127293451384332</v>
      </c>
      <c r="W15" s="53"/>
      <c r="X15" s="54"/>
      <c r="Y15" s="54"/>
      <c r="Z15" s="54"/>
      <c r="AA15" s="54"/>
      <c r="AB15" s="54"/>
      <c r="AC15" s="54"/>
      <c r="AD15" s="54"/>
      <c r="AE15" s="54"/>
      <c r="AF15" s="55"/>
    </row>
    <row r="16" spans="1:32" s="1" customFormat="1" x14ac:dyDescent="0.25">
      <c r="A16" s="26">
        <v>20080341</v>
      </c>
      <c r="B16" s="27" t="s">
        <v>14</v>
      </c>
      <c r="C16" s="28" t="s">
        <v>16</v>
      </c>
      <c r="D16" s="29">
        <v>6</v>
      </c>
      <c r="E16" s="30" t="s">
        <v>15</v>
      </c>
      <c r="F16" s="31">
        <v>1396068</v>
      </c>
      <c r="G16" s="32">
        <v>1258067</v>
      </c>
      <c r="H16" s="32">
        <v>990544</v>
      </c>
      <c r="I16" s="33"/>
      <c r="J16" s="31">
        <v>970866</v>
      </c>
      <c r="K16" s="32">
        <v>374480</v>
      </c>
      <c r="L16" s="32">
        <v>109637</v>
      </c>
      <c r="M16" s="34">
        <v>88890</v>
      </c>
      <c r="N16" s="32">
        <v>7434</v>
      </c>
      <c r="O16" s="32">
        <v>33690</v>
      </c>
      <c r="P16" s="32" t="s">
        <v>19</v>
      </c>
      <c r="Q16" s="32">
        <v>356713</v>
      </c>
      <c r="R16" s="33" t="s">
        <v>19</v>
      </c>
      <c r="S16" s="35">
        <f>(G16/F16)*100</f>
        <v>90.115023050453118</v>
      </c>
      <c r="T16" s="36">
        <f>(H16/G16)*100</f>
        <v>78.735393266018434</v>
      </c>
      <c r="U16" s="37"/>
      <c r="V16" s="27"/>
      <c r="W16" s="38" t="s">
        <v>1035</v>
      </c>
      <c r="X16" s="39" t="s">
        <v>805</v>
      </c>
      <c r="Y16" s="39" t="s">
        <v>806</v>
      </c>
      <c r="Z16" s="39" t="s">
        <v>807</v>
      </c>
      <c r="AA16" s="39" t="s">
        <v>808</v>
      </c>
      <c r="AB16" s="39" t="s">
        <v>809</v>
      </c>
      <c r="AC16" s="39" t="s">
        <v>810</v>
      </c>
      <c r="AD16" s="39" t="s">
        <v>811</v>
      </c>
      <c r="AE16" s="39" t="s">
        <v>812</v>
      </c>
      <c r="AF16" s="40" t="s">
        <v>813</v>
      </c>
    </row>
    <row r="17" spans="1:32" s="1" customFormat="1" x14ac:dyDescent="0.25">
      <c r="A17" s="26"/>
      <c r="B17" s="27" t="s">
        <v>17</v>
      </c>
      <c r="C17" s="28" t="s">
        <v>16</v>
      </c>
      <c r="D17" s="29">
        <v>6</v>
      </c>
      <c r="E17" s="30" t="s">
        <v>18</v>
      </c>
      <c r="F17" s="31">
        <v>1533474</v>
      </c>
      <c r="G17" s="32">
        <v>1408216</v>
      </c>
      <c r="H17" s="32">
        <v>1033694</v>
      </c>
      <c r="I17" s="33"/>
      <c r="J17" s="31">
        <v>1026704</v>
      </c>
      <c r="K17" s="32">
        <v>86586</v>
      </c>
      <c r="L17" s="32">
        <v>2444</v>
      </c>
      <c r="M17" s="34">
        <v>458405</v>
      </c>
      <c r="N17" s="32">
        <v>208937</v>
      </c>
      <c r="O17" s="32" t="s">
        <v>19</v>
      </c>
      <c r="P17" s="32">
        <v>204298</v>
      </c>
      <c r="Q17" s="32" t="s">
        <v>19</v>
      </c>
      <c r="R17" s="33">
        <v>66024</v>
      </c>
      <c r="S17" s="35">
        <f>(G17/F17)*100</f>
        <v>91.831749348211972</v>
      </c>
      <c r="T17" s="36">
        <f>(H17/G17)*100</f>
        <v>73.404506126900984</v>
      </c>
      <c r="U17" s="37"/>
      <c r="V17" s="27"/>
      <c r="W17" s="38"/>
      <c r="X17" s="39"/>
      <c r="Y17" s="39"/>
      <c r="Z17" s="39"/>
      <c r="AA17" s="39"/>
      <c r="AB17" s="39"/>
      <c r="AC17" s="39"/>
      <c r="AD17" s="39"/>
      <c r="AE17" s="39"/>
      <c r="AF17" s="40"/>
    </row>
    <row r="18" spans="1:32" s="1" customFormat="1" x14ac:dyDescent="0.25">
      <c r="A18" s="26"/>
      <c r="B18" s="27" t="s">
        <v>29</v>
      </c>
      <c r="C18" s="28"/>
      <c r="D18" s="29"/>
      <c r="E18" s="30"/>
      <c r="F18" s="31"/>
      <c r="G18" s="32"/>
      <c r="H18" s="32">
        <f>H16+H17</f>
        <v>2024238</v>
      </c>
      <c r="I18" s="33">
        <v>2014786</v>
      </c>
      <c r="J18" s="31">
        <v>1997567</v>
      </c>
      <c r="K18" s="32">
        <v>461066</v>
      </c>
      <c r="L18" s="32">
        <v>112081</v>
      </c>
      <c r="M18" s="34">
        <v>547293</v>
      </c>
      <c r="N18" s="32">
        <v>216370</v>
      </c>
      <c r="O18" s="32">
        <v>33699</v>
      </c>
      <c r="P18" s="32">
        <v>204309</v>
      </c>
      <c r="Q18" s="32">
        <v>356714</v>
      </c>
      <c r="R18" s="33">
        <v>66035</v>
      </c>
      <c r="S18" s="26"/>
      <c r="T18" s="37"/>
      <c r="U18" s="36">
        <f t="shared" ref="U18" si="1">(I18/H18)*100</f>
        <v>99.533058859679542</v>
      </c>
      <c r="V18" s="71">
        <f>(I18/(F16+F17))*100</f>
        <v>68.774777763896196</v>
      </c>
      <c r="W18" s="38"/>
      <c r="X18" s="39"/>
      <c r="Y18" s="39"/>
      <c r="Z18" s="39"/>
      <c r="AA18" s="39"/>
      <c r="AB18" s="39"/>
      <c r="AC18" s="39"/>
      <c r="AD18" s="39"/>
      <c r="AE18" s="39"/>
      <c r="AF18" s="40"/>
    </row>
    <row r="19" spans="1:32" s="1" customFormat="1" x14ac:dyDescent="0.25">
      <c r="A19" s="41">
        <v>20080698</v>
      </c>
      <c r="B19" s="42" t="s">
        <v>14</v>
      </c>
      <c r="C19" s="43" t="s">
        <v>16</v>
      </c>
      <c r="D19" s="44">
        <v>3</v>
      </c>
      <c r="E19" s="45" t="s">
        <v>15</v>
      </c>
      <c r="F19" s="46">
        <f>4000000+668286</f>
        <v>4668286</v>
      </c>
      <c r="G19" s="47">
        <f>3492460+582821</f>
        <v>4075281</v>
      </c>
      <c r="H19" s="47">
        <f>2488713+416580</f>
        <v>2905293</v>
      </c>
      <c r="I19" s="48"/>
      <c r="J19" s="46">
        <v>2894911</v>
      </c>
      <c r="K19" s="47">
        <v>1245405</v>
      </c>
      <c r="L19" s="47">
        <v>4233</v>
      </c>
      <c r="M19" s="49">
        <v>827168</v>
      </c>
      <c r="N19" s="47">
        <v>5027</v>
      </c>
      <c r="O19" s="47">
        <v>809137</v>
      </c>
      <c r="P19" s="47" t="s">
        <v>19</v>
      </c>
      <c r="Q19" s="47" t="s">
        <v>20</v>
      </c>
      <c r="R19" s="48" t="s">
        <v>19</v>
      </c>
      <c r="S19" s="50">
        <f>(G19/F19)*100</f>
        <v>87.297157886213483</v>
      </c>
      <c r="T19" s="51">
        <f>(H19/G19)*100</f>
        <v>71.290617751266723</v>
      </c>
      <c r="U19" s="52"/>
      <c r="V19" s="42"/>
      <c r="W19" s="53" t="s">
        <v>1037</v>
      </c>
      <c r="X19" s="54" t="s">
        <v>822</v>
      </c>
      <c r="Y19" s="54" t="s">
        <v>823</v>
      </c>
      <c r="Z19" s="54" t="s">
        <v>824</v>
      </c>
      <c r="AA19" s="54" t="s">
        <v>825</v>
      </c>
      <c r="AB19" s="54" t="s">
        <v>826</v>
      </c>
      <c r="AC19" s="54" t="s">
        <v>827</v>
      </c>
      <c r="AD19" s="54" t="s">
        <v>828</v>
      </c>
      <c r="AE19" s="54" t="s">
        <v>829</v>
      </c>
      <c r="AF19" s="55" t="s">
        <v>830</v>
      </c>
    </row>
    <row r="20" spans="1:32" s="1" customFormat="1" x14ac:dyDescent="0.25">
      <c r="A20" s="41"/>
      <c r="B20" s="42" t="s">
        <v>17</v>
      </c>
      <c r="C20" s="43" t="s">
        <v>16</v>
      </c>
      <c r="D20" s="44">
        <v>3</v>
      </c>
      <c r="E20" s="45" t="s">
        <v>18</v>
      </c>
      <c r="F20" s="46">
        <v>1999659</v>
      </c>
      <c r="G20" s="47">
        <v>1763887</v>
      </c>
      <c r="H20" s="47">
        <v>1207791</v>
      </c>
      <c r="I20" s="48"/>
      <c r="J20" s="46">
        <v>1202830</v>
      </c>
      <c r="K20" s="47">
        <v>334001</v>
      </c>
      <c r="L20" s="47">
        <v>36362</v>
      </c>
      <c r="M20" s="49">
        <v>351261</v>
      </c>
      <c r="N20" s="47">
        <v>56433</v>
      </c>
      <c r="O20" s="47" t="s">
        <v>19</v>
      </c>
      <c r="P20" s="47">
        <v>293562</v>
      </c>
      <c r="Q20" s="47" t="s">
        <v>19</v>
      </c>
      <c r="R20" s="48">
        <v>131206</v>
      </c>
      <c r="S20" s="50">
        <f>(G20/F20)*100</f>
        <v>88.209389700944001</v>
      </c>
      <c r="T20" s="51">
        <f>(H20/G20)*100</f>
        <v>68.473263876880992</v>
      </c>
      <c r="U20" s="52"/>
      <c r="V20" s="42"/>
      <c r="W20" s="53"/>
      <c r="X20" s="54"/>
      <c r="Y20" s="54"/>
      <c r="Z20" s="54"/>
      <c r="AA20" s="54"/>
      <c r="AB20" s="54"/>
      <c r="AC20" s="54"/>
      <c r="AD20" s="54"/>
      <c r="AE20" s="54"/>
      <c r="AF20" s="55"/>
    </row>
    <row r="21" spans="1:32" s="1" customFormat="1" x14ac:dyDescent="0.25">
      <c r="A21" s="41"/>
      <c r="B21" s="42" t="s">
        <v>29</v>
      </c>
      <c r="C21" s="43"/>
      <c r="D21" s="44"/>
      <c r="E21" s="45"/>
      <c r="F21" s="46"/>
      <c r="G21" s="47"/>
      <c r="H21" s="47">
        <v>4113084</v>
      </c>
      <c r="I21" s="48">
        <v>4112575</v>
      </c>
      <c r="J21" s="46">
        <v>4097741</v>
      </c>
      <c r="K21" s="47">
        <v>1579406</v>
      </c>
      <c r="L21" s="47">
        <v>40595</v>
      </c>
      <c r="M21" s="49">
        <v>1178429</v>
      </c>
      <c r="N21" s="47">
        <v>61460</v>
      </c>
      <c r="O21" s="47">
        <v>809140</v>
      </c>
      <c r="P21" s="47">
        <v>293568</v>
      </c>
      <c r="Q21" s="47">
        <v>3937</v>
      </c>
      <c r="R21" s="48">
        <v>131206</v>
      </c>
      <c r="S21" s="41"/>
      <c r="T21" s="52"/>
      <c r="U21" s="51">
        <f t="shared" ref="U21" si="2">(I21/H21)*100</f>
        <v>99.987624857649394</v>
      </c>
      <c r="V21" s="73">
        <f>(I21/(F19+F20))*100</f>
        <v>61.676798473892639</v>
      </c>
      <c r="W21" s="53"/>
      <c r="X21" s="54"/>
      <c r="Y21" s="54"/>
      <c r="Z21" s="54"/>
      <c r="AA21" s="54"/>
      <c r="AB21" s="54"/>
      <c r="AC21" s="54"/>
      <c r="AD21" s="54"/>
      <c r="AE21" s="54"/>
      <c r="AF21" s="55"/>
    </row>
    <row r="22" spans="1:32" s="1" customFormat="1" x14ac:dyDescent="0.25">
      <c r="A22" s="26">
        <v>20080684</v>
      </c>
      <c r="B22" s="27" t="s">
        <v>14</v>
      </c>
      <c r="C22" s="28" t="s">
        <v>16</v>
      </c>
      <c r="D22" s="29">
        <v>5</v>
      </c>
      <c r="E22" s="30" t="s">
        <v>15</v>
      </c>
      <c r="F22" s="31">
        <v>2303141</v>
      </c>
      <c r="G22" s="32">
        <v>2055485</v>
      </c>
      <c r="H22" s="32">
        <v>1627021</v>
      </c>
      <c r="I22" s="33"/>
      <c r="J22" s="31">
        <v>1532048</v>
      </c>
      <c r="K22" s="32">
        <v>695587</v>
      </c>
      <c r="L22" s="32">
        <v>100978</v>
      </c>
      <c r="M22" s="34">
        <v>431270</v>
      </c>
      <c r="N22" s="32">
        <v>28374</v>
      </c>
      <c r="O22" s="32">
        <v>210491</v>
      </c>
      <c r="P22" s="32" t="s">
        <v>19</v>
      </c>
      <c r="Q22" s="32">
        <v>65347</v>
      </c>
      <c r="R22" s="33" t="s">
        <v>19</v>
      </c>
      <c r="S22" s="35">
        <f>(G22/F22)*100</f>
        <v>89.247032639339068</v>
      </c>
      <c r="T22" s="36">
        <f>(H22/G22)*100</f>
        <v>79.155089917951244</v>
      </c>
      <c r="U22" s="37"/>
      <c r="V22" s="27"/>
      <c r="W22" s="38" t="s">
        <v>1036</v>
      </c>
      <c r="X22" s="39" t="s">
        <v>814</v>
      </c>
      <c r="Y22" s="39" t="s">
        <v>815</v>
      </c>
      <c r="Z22" s="39" t="s">
        <v>816</v>
      </c>
      <c r="AA22" s="39" t="s">
        <v>817</v>
      </c>
      <c r="AB22" s="39" t="s">
        <v>818</v>
      </c>
      <c r="AC22" s="39" t="s">
        <v>819</v>
      </c>
      <c r="AD22" s="39" t="s">
        <v>820</v>
      </c>
      <c r="AE22" s="39" t="s">
        <v>251</v>
      </c>
      <c r="AF22" s="40" t="s">
        <v>821</v>
      </c>
    </row>
    <row r="23" spans="1:32" s="1" customFormat="1" x14ac:dyDescent="0.25">
      <c r="A23" s="26"/>
      <c r="B23" s="27" t="s">
        <v>17</v>
      </c>
      <c r="C23" s="28" t="s">
        <v>16</v>
      </c>
      <c r="D23" s="29">
        <v>5</v>
      </c>
      <c r="E23" s="30" t="s">
        <v>18</v>
      </c>
      <c r="F23" s="31">
        <v>1324532</v>
      </c>
      <c r="G23" s="32">
        <v>1201322</v>
      </c>
      <c r="H23" s="32">
        <v>893808</v>
      </c>
      <c r="I23" s="33"/>
      <c r="J23" s="31">
        <v>885639</v>
      </c>
      <c r="K23" s="32">
        <v>170916</v>
      </c>
      <c r="L23" s="32">
        <v>44358</v>
      </c>
      <c r="M23" s="34">
        <v>338562</v>
      </c>
      <c r="N23" s="32">
        <v>89633</v>
      </c>
      <c r="O23" s="32" t="s">
        <v>19</v>
      </c>
      <c r="P23" s="32">
        <v>242105</v>
      </c>
      <c r="Q23" s="32" t="s">
        <v>19</v>
      </c>
      <c r="R23" s="33" t="s">
        <v>20</v>
      </c>
      <c r="S23" s="35">
        <f>(G23/F23)*100</f>
        <v>90.69784648464514</v>
      </c>
      <c r="T23" s="36">
        <f>(H23/G23)*100</f>
        <v>74.402033759474989</v>
      </c>
      <c r="U23" s="37"/>
      <c r="V23" s="27"/>
      <c r="W23" s="38"/>
      <c r="X23" s="39"/>
      <c r="Y23" s="39"/>
      <c r="Z23" s="39"/>
      <c r="AA23" s="39"/>
      <c r="AB23" s="39"/>
      <c r="AC23" s="39"/>
      <c r="AD23" s="39"/>
      <c r="AE23" s="39"/>
      <c r="AF23" s="40"/>
    </row>
    <row r="24" spans="1:32" s="1" customFormat="1" x14ac:dyDescent="0.25">
      <c r="A24" s="26"/>
      <c r="B24" s="27" t="s">
        <v>29</v>
      </c>
      <c r="C24" s="28"/>
      <c r="D24" s="29"/>
      <c r="E24" s="30"/>
      <c r="F24" s="31"/>
      <c r="G24" s="32"/>
      <c r="H24" s="32">
        <v>2520829</v>
      </c>
      <c r="I24" s="33">
        <v>2518626</v>
      </c>
      <c r="J24" s="31">
        <v>2417687</v>
      </c>
      <c r="K24" s="32">
        <v>866503</v>
      </c>
      <c r="L24" s="32">
        <v>145336</v>
      </c>
      <c r="M24" s="34">
        <v>769832</v>
      </c>
      <c r="N24" s="32">
        <v>118007</v>
      </c>
      <c r="O24" s="32">
        <v>210495</v>
      </c>
      <c r="P24" s="32">
        <v>242106</v>
      </c>
      <c r="Q24" s="32">
        <v>65347</v>
      </c>
      <c r="R24" s="33"/>
      <c r="S24" s="26"/>
      <c r="T24" s="37"/>
      <c r="U24" s="36">
        <f t="shared" ref="U24" si="3">(I24/H24)*100</f>
        <v>99.912608114235439</v>
      </c>
      <c r="V24" s="71">
        <f>(I24/(F22+F23))*100</f>
        <v>69.428143054790212</v>
      </c>
      <c r="W24" s="38"/>
      <c r="X24" s="39"/>
      <c r="Y24" s="39"/>
      <c r="Z24" s="39"/>
      <c r="AA24" s="39"/>
      <c r="AB24" s="39"/>
      <c r="AC24" s="39"/>
      <c r="AD24" s="39"/>
      <c r="AE24" s="39"/>
      <c r="AF24" s="40"/>
    </row>
    <row r="25" spans="1:32" s="1" customFormat="1" x14ac:dyDescent="0.25">
      <c r="A25" s="41">
        <v>20080719</v>
      </c>
      <c r="B25" s="42" t="s">
        <v>14</v>
      </c>
      <c r="C25" s="43" t="s">
        <v>16</v>
      </c>
      <c r="D25" s="44">
        <v>2</v>
      </c>
      <c r="E25" s="45" t="s">
        <v>15</v>
      </c>
      <c r="F25" s="46">
        <v>1420546</v>
      </c>
      <c r="G25" s="47">
        <v>1182842</v>
      </c>
      <c r="H25" s="47">
        <v>914325</v>
      </c>
      <c r="I25" s="48"/>
      <c r="J25" s="46">
        <v>907423</v>
      </c>
      <c r="K25" s="47">
        <v>173545</v>
      </c>
      <c r="L25" s="47">
        <v>360291</v>
      </c>
      <c r="M25" s="49">
        <v>140021</v>
      </c>
      <c r="N25" s="47">
        <v>29226</v>
      </c>
      <c r="O25" s="47">
        <v>20331</v>
      </c>
      <c r="P25" s="47" t="s">
        <v>19</v>
      </c>
      <c r="Q25" s="47">
        <v>183999</v>
      </c>
      <c r="R25" s="74" t="s">
        <v>19</v>
      </c>
      <c r="S25" s="50">
        <f>(G25/F25)*100</f>
        <v>83.266715755772779</v>
      </c>
      <c r="T25" s="51">
        <f>(H25/G25)*100</f>
        <v>77.29899682290619</v>
      </c>
      <c r="U25" s="52"/>
      <c r="V25" s="42"/>
      <c r="W25" s="53" t="s">
        <v>1038</v>
      </c>
      <c r="X25" s="54" t="s">
        <v>831</v>
      </c>
      <c r="Y25" s="54" t="s">
        <v>832</v>
      </c>
      <c r="Z25" s="54" t="s">
        <v>833</v>
      </c>
      <c r="AA25" s="54" t="s">
        <v>834</v>
      </c>
      <c r="AB25" s="54" t="s">
        <v>835</v>
      </c>
      <c r="AC25" s="54" t="s">
        <v>836</v>
      </c>
      <c r="AD25" s="54" t="s">
        <v>837</v>
      </c>
      <c r="AE25" s="54" t="s">
        <v>838</v>
      </c>
      <c r="AF25" s="55" t="s">
        <v>839</v>
      </c>
    </row>
    <row r="26" spans="1:32" s="1" customFormat="1" x14ac:dyDescent="0.25">
      <c r="A26" s="41"/>
      <c r="B26" s="42" t="s">
        <v>17</v>
      </c>
      <c r="C26" s="43" t="s">
        <v>16</v>
      </c>
      <c r="D26" s="44">
        <v>2</v>
      </c>
      <c r="E26" s="45" t="s">
        <v>18</v>
      </c>
      <c r="F26" s="46">
        <v>1736920</v>
      </c>
      <c r="G26" s="47">
        <v>1461876</v>
      </c>
      <c r="H26" s="47">
        <v>1033401</v>
      </c>
      <c r="I26" s="48"/>
      <c r="J26" s="46">
        <v>1030234</v>
      </c>
      <c r="K26" s="47">
        <v>128931</v>
      </c>
      <c r="L26" s="47">
        <v>44584</v>
      </c>
      <c r="M26" s="49">
        <v>335059</v>
      </c>
      <c r="N26" s="47">
        <v>91129</v>
      </c>
      <c r="O26" s="47" t="s">
        <v>19</v>
      </c>
      <c r="P26" s="47">
        <v>355113</v>
      </c>
      <c r="Q26" s="47" t="s">
        <v>19</v>
      </c>
      <c r="R26" s="74">
        <v>75418</v>
      </c>
      <c r="S26" s="50">
        <f>(G26/F26)*100</f>
        <v>84.164843516108974</v>
      </c>
      <c r="T26" s="51">
        <f>(H26/G26)*100</f>
        <v>70.690058527535854</v>
      </c>
      <c r="U26" s="52"/>
      <c r="V26" s="42"/>
      <c r="W26" s="53"/>
      <c r="X26" s="54"/>
      <c r="Y26" s="54"/>
      <c r="Z26" s="54"/>
      <c r="AA26" s="54"/>
      <c r="AB26" s="54"/>
      <c r="AC26" s="54"/>
      <c r="AD26" s="54"/>
      <c r="AE26" s="54"/>
      <c r="AF26" s="55"/>
    </row>
    <row r="27" spans="1:32" s="1" customFormat="1" x14ac:dyDescent="0.25">
      <c r="A27" s="41"/>
      <c r="B27" s="42" t="s">
        <v>29</v>
      </c>
      <c r="C27" s="43"/>
      <c r="D27" s="44"/>
      <c r="E27" s="45"/>
      <c r="F27" s="46"/>
      <c r="G27" s="47"/>
      <c r="H27" s="47">
        <v>1947726</v>
      </c>
      <c r="I27" s="48">
        <v>1946880</v>
      </c>
      <c r="J27" s="46">
        <v>1937656</v>
      </c>
      <c r="K27" s="47">
        <v>302475</v>
      </c>
      <c r="L27" s="47">
        <v>404875</v>
      </c>
      <c r="M27" s="49">
        <v>475080</v>
      </c>
      <c r="N27" s="47">
        <v>120355</v>
      </c>
      <c r="O27" s="47">
        <v>20331</v>
      </c>
      <c r="P27" s="47">
        <v>355123</v>
      </c>
      <c r="Q27" s="47">
        <v>183999</v>
      </c>
      <c r="R27" s="74">
        <v>75418</v>
      </c>
      <c r="S27" s="41"/>
      <c r="T27" s="52"/>
      <c r="U27" s="51">
        <f t="shared" ref="U27" si="4">(I27/H27)*100</f>
        <v>99.956564732411024</v>
      </c>
      <c r="V27" s="73">
        <f>(I27/(F25+F26))*100</f>
        <v>61.659571314465452</v>
      </c>
      <c r="W27" s="53"/>
      <c r="X27" s="54"/>
      <c r="Y27" s="54"/>
      <c r="Z27" s="54"/>
      <c r="AA27" s="54"/>
      <c r="AB27" s="54"/>
      <c r="AC27" s="54"/>
      <c r="AD27" s="54"/>
      <c r="AE27" s="54"/>
      <c r="AF27" s="55"/>
    </row>
    <row r="28" spans="1:32" s="1" customFormat="1" x14ac:dyDescent="0.25">
      <c r="A28" s="26">
        <v>20080832</v>
      </c>
      <c r="B28" s="27" t="s">
        <v>14</v>
      </c>
      <c r="C28" s="28" t="s">
        <v>16</v>
      </c>
      <c r="D28" s="29">
        <v>1</v>
      </c>
      <c r="E28" s="30" t="s">
        <v>15</v>
      </c>
      <c r="F28" s="31">
        <v>2309429</v>
      </c>
      <c r="G28" s="32">
        <v>1763066</v>
      </c>
      <c r="H28" s="32">
        <v>1337702</v>
      </c>
      <c r="I28" s="33"/>
      <c r="J28" s="31">
        <v>1335079</v>
      </c>
      <c r="K28" s="32">
        <v>336154</v>
      </c>
      <c r="L28" s="32">
        <v>360901</v>
      </c>
      <c r="M28" s="34">
        <v>176422</v>
      </c>
      <c r="N28" s="32">
        <v>138872</v>
      </c>
      <c r="O28" s="32">
        <v>135392</v>
      </c>
      <c r="P28" s="32" t="s">
        <v>19</v>
      </c>
      <c r="Q28" s="32">
        <v>187335</v>
      </c>
      <c r="R28" s="33" t="s">
        <v>19</v>
      </c>
      <c r="S28" s="35">
        <f>(G28/F28)*100</f>
        <v>76.342074166384862</v>
      </c>
      <c r="T28" s="36">
        <f>(H28/G28)*100</f>
        <v>75.873620159426807</v>
      </c>
      <c r="U28" s="37"/>
      <c r="V28" s="27"/>
      <c r="W28" s="38" t="s">
        <v>1039</v>
      </c>
      <c r="X28" s="39" t="s">
        <v>840</v>
      </c>
      <c r="Y28" s="39" t="s">
        <v>841</v>
      </c>
      <c r="Z28" s="39" t="s">
        <v>842</v>
      </c>
      <c r="AA28" s="39" t="s">
        <v>843</v>
      </c>
      <c r="AB28" s="39" t="s">
        <v>844</v>
      </c>
      <c r="AC28" s="39" t="s">
        <v>845</v>
      </c>
      <c r="AD28" s="39" t="s">
        <v>846</v>
      </c>
      <c r="AE28" s="39" t="s">
        <v>251</v>
      </c>
      <c r="AF28" s="40" t="s">
        <v>847</v>
      </c>
    </row>
    <row r="29" spans="1:32" s="1" customFormat="1" x14ac:dyDescent="0.25">
      <c r="A29" s="26"/>
      <c r="B29" s="27" t="s">
        <v>17</v>
      </c>
      <c r="C29" s="28" t="s">
        <v>16</v>
      </c>
      <c r="D29" s="29">
        <v>1</v>
      </c>
      <c r="E29" s="30" t="s">
        <v>18</v>
      </c>
      <c r="F29" s="31">
        <v>1365283</v>
      </c>
      <c r="G29" s="32">
        <v>1057493</v>
      </c>
      <c r="H29" s="32">
        <v>774120</v>
      </c>
      <c r="I29" s="33"/>
      <c r="J29" s="31">
        <v>771897</v>
      </c>
      <c r="K29" s="32">
        <v>197488</v>
      </c>
      <c r="L29" s="32">
        <v>45726</v>
      </c>
      <c r="M29" s="34">
        <v>289685</v>
      </c>
      <c r="N29" s="32">
        <v>21449</v>
      </c>
      <c r="O29" s="32" t="s">
        <v>19</v>
      </c>
      <c r="P29" s="32">
        <v>217522</v>
      </c>
      <c r="Q29" s="32" t="s">
        <v>19</v>
      </c>
      <c r="R29" s="33" t="s">
        <v>20</v>
      </c>
      <c r="S29" s="35">
        <f>(G29/F29)*100</f>
        <v>77.455956017909841</v>
      </c>
      <c r="T29" s="36">
        <f>(H29/G29)*100</f>
        <v>73.203321440425611</v>
      </c>
      <c r="U29" s="37"/>
      <c r="V29" s="27"/>
      <c r="W29" s="38"/>
      <c r="X29" s="39"/>
      <c r="Y29" s="39"/>
      <c r="Z29" s="39"/>
      <c r="AA29" s="39"/>
      <c r="AB29" s="39"/>
      <c r="AC29" s="39"/>
      <c r="AD29" s="39"/>
      <c r="AE29" s="39"/>
      <c r="AF29" s="40"/>
    </row>
    <row r="30" spans="1:32" s="1" customFormat="1" x14ac:dyDescent="0.25">
      <c r="A30" s="26"/>
      <c r="B30" s="27" t="s">
        <v>29</v>
      </c>
      <c r="C30" s="28"/>
      <c r="D30" s="29"/>
      <c r="E30" s="30"/>
      <c r="F30" s="31"/>
      <c r="G30" s="32"/>
      <c r="H30" s="32">
        <v>2111822</v>
      </c>
      <c r="I30" s="33">
        <v>2110247</v>
      </c>
      <c r="J30" s="31">
        <v>2106976</v>
      </c>
      <c r="K30" s="32">
        <v>533642</v>
      </c>
      <c r="L30" s="32">
        <v>406627</v>
      </c>
      <c r="M30" s="34">
        <v>466107</v>
      </c>
      <c r="N30" s="32">
        <v>160321</v>
      </c>
      <c r="O30" s="32">
        <v>135396</v>
      </c>
      <c r="P30" s="32">
        <v>217525</v>
      </c>
      <c r="Q30" s="32">
        <v>187337</v>
      </c>
      <c r="R30" s="33"/>
      <c r="S30" s="26"/>
      <c r="T30" s="37"/>
      <c r="U30" s="36">
        <f t="shared" ref="U30" si="5">(I30/H30)*100</f>
        <v>99.925419850726058</v>
      </c>
      <c r="V30" s="71">
        <f>(I30/(F28+F29))*100</f>
        <v>57.426187412782284</v>
      </c>
      <c r="W30" s="38"/>
      <c r="X30" s="39"/>
      <c r="Y30" s="39"/>
      <c r="Z30" s="39"/>
      <c r="AA30" s="39"/>
      <c r="AB30" s="39"/>
      <c r="AC30" s="39"/>
      <c r="AD30" s="39"/>
      <c r="AE30" s="39"/>
      <c r="AF30" s="40"/>
    </row>
    <row r="31" spans="1:32" s="1" customFormat="1" x14ac:dyDescent="0.25">
      <c r="A31" s="41">
        <v>20080857</v>
      </c>
      <c r="B31" s="42" t="s">
        <v>14</v>
      </c>
      <c r="C31" s="43" t="s">
        <v>16</v>
      </c>
      <c r="D31" s="44">
        <v>8</v>
      </c>
      <c r="E31" s="45" t="s">
        <v>21</v>
      </c>
      <c r="F31" s="46">
        <v>1778304</v>
      </c>
      <c r="G31" s="47">
        <v>1563749</v>
      </c>
      <c r="H31" s="47">
        <v>1255964</v>
      </c>
      <c r="I31" s="48"/>
      <c r="J31" s="46">
        <v>1248662</v>
      </c>
      <c r="K31" s="47">
        <v>785025</v>
      </c>
      <c r="L31" s="47">
        <v>32122</v>
      </c>
      <c r="M31" s="49">
        <v>333252</v>
      </c>
      <c r="N31" s="47" t="s">
        <v>20</v>
      </c>
      <c r="O31" s="47">
        <v>67255</v>
      </c>
      <c r="P31" s="47" t="s">
        <v>19</v>
      </c>
      <c r="Q31" s="47">
        <v>28922</v>
      </c>
      <c r="R31" s="48" t="s">
        <v>19</v>
      </c>
      <c r="S31" s="50">
        <f>(G31/F31)*100</f>
        <v>87.934852533650044</v>
      </c>
      <c r="T31" s="51">
        <f>(H31/G31)*100</f>
        <v>80.317493408469005</v>
      </c>
      <c r="U31" s="52"/>
      <c r="V31" s="42"/>
      <c r="W31" s="53" t="s">
        <v>1040</v>
      </c>
      <c r="X31" s="54" t="s">
        <v>848</v>
      </c>
      <c r="Y31" s="54" t="s">
        <v>849</v>
      </c>
      <c r="Z31" s="54" t="s">
        <v>850</v>
      </c>
      <c r="AA31" s="54" t="s">
        <v>851</v>
      </c>
      <c r="AB31" s="54" t="s">
        <v>852</v>
      </c>
      <c r="AC31" s="54" t="s">
        <v>853</v>
      </c>
      <c r="AD31" s="54" t="s">
        <v>854</v>
      </c>
      <c r="AE31" s="54" t="s">
        <v>855</v>
      </c>
      <c r="AF31" s="55" t="s">
        <v>856</v>
      </c>
    </row>
    <row r="32" spans="1:32" s="1" customFormat="1" x14ac:dyDescent="0.25">
      <c r="A32" s="41"/>
      <c r="B32" s="42" t="s">
        <v>17</v>
      </c>
      <c r="C32" s="43" t="s">
        <v>16</v>
      </c>
      <c r="D32" s="44">
        <v>8</v>
      </c>
      <c r="E32" s="45" t="s">
        <v>22</v>
      </c>
      <c r="F32" s="46">
        <v>2276755</v>
      </c>
      <c r="G32" s="47">
        <v>2024150</v>
      </c>
      <c r="H32" s="47">
        <v>1466731</v>
      </c>
      <c r="I32" s="48"/>
      <c r="J32" s="46">
        <v>1462913</v>
      </c>
      <c r="K32" s="47">
        <v>161247</v>
      </c>
      <c r="L32" s="47">
        <v>64374</v>
      </c>
      <c r="M32" s="49">
        <v>500173</v>
      </c>
      <c r="N32" s="47">
        <v>160926</v>
      </c>
      <c r="O32" s="47" t="s">
        <v>19</v>
      </c>
      <c r="P32" s="47">
        <v>480853</v>
      </c>
      <c r="Q32" s="47" t="s">
        <v>19</v>
      </c>
      <c r="R32" s="48">
        <v>95340</v>
      </c>
      <c r="S32" s="50">
        <f>(G32/F32)*100</f>
        <v>88.905042483710375</v>
      </c>
      <c r="T32" s="51">
        <f>(H32/G32)*100</f>
        <v>72.461576464194849</v>
      </c>
      <c r="U32" s="52"/>
      <c r="V32" s="42"/>
      <c r="W32" s="53"/>
      <c r="X32" s="54"/>
      <c r="Y32" s="54"/>
      <c r="Z32" s="54"/>
      <c r="AA32" s="54"/>
      <c r="AB32" s="54"/>
      <c r="AC32" s="54"/>
      <c r="AD32" s="54"/>
      <c r="AE32" s="54"/>
      <c r="AF32" s="55"/>
    </row>
    <row r="33" spans="1:32" s="1" customFormat="1" x14ac:dyDescent="0.25">
      <c r="A33" s="41"/>
      <c r="B33" s="42" t="s">
        <v>29</v>
      </c>
      <c r="C33" s="43"/>
      <c r="D33" s="44"/>
      <c r="E33" s="45"/>
      <c r="F33" s="46"/>
      <c r="G33" s="47"/>
      <c r="H33" s="47">
        <v>2722695</v>
      </c>
      <c r="I33" s="48">
        <v>2721082</v>
      </c>
      <c r="J33" s="46">
        <v>2711575</v>
      </c>
      <c r="K33" s="47">
        <v>946272</v>
      </c>
      <c r="L33" s="47">
        <v>96496</v>
      </c>
      <c r="M33" s="49">
        <v>833425</v>
      </c>
      <c r="N33" s="47">
        <v>163010</v>
      </c>
      <c r="O33" s="47">
        <v>67255</v>
      </c>
      <c r="P33" s="47">
        <v>480855</v>
      </c>
      <c r="Q33" s="47">
        <v>28922</v>
      </c>
      <c r="R33" s="48">
        <v>95340</v>
      </c>
      <c r="S33" s="41"/>
      <c r="T33" s="52"/>
      <c r="U33" s="51">
        <f t="shared" ref="U33" si="6">(I33/H33)*100</f>
        <v>99.940757227673316</v>
      </c>
      <c r="V33" s="73">
        <f>(I33/(F31+F32))*100</f>
        <v>67.103388631336799</v>
      </c>
      <c r="W33" s="53"/>
      <c r="X33" s="54"/>
      <c r="Y33" s="54"/>
      <c r="Z33" s="54"/>
      <c r="AA33" s="54"/>
      <c r="AB33" s="54"/>
      <c r="AC33" s="54"/>
      <c r="AD33" s="54"/>
      <c r="AE33" s="54"/>
      <c r="AF33" s="55"/>
    </row>
    <row r="34" spans="1:32" s="1" customFormat="1" x14ac:dyDescent="0.25">
      <c r="A34" s="26">
        <v>20080869</v>
      </c>
      <c r="B34" s="27" t="s">
        <v>14</v>
      </c>
      <c r="C34" s="28" t="s">
        <v>16</v>
      </c>
      <c r="D34" s="29">
        <v>6</v>
      </c>
      <c r="E34" s="30" t="s">
        <v>23</v>
      </c>
      <c r="F34" s="31">
        <v>2340606</v>
      </c>
      <c r="G34" s="32">
        <v>2145804</v>
      </c>
      <c r="H34" s="32">
        <v>1605833</v>
      </c>
      <c r="I34" s="33"/>
      <c r="J34" s="31">
        <v>1570147</v>
      </c>
      <c r="K34" s="32">
        <v>279443</v>
      </c>
      <c r="L34" s="32">
        <v>319901</v>
      </c>
      <c r="M34" s="34">
        <v>15364</v>
      </c>
      <c r="N34" s="32">
        <v>3865</v>
      </c>
      <c r="O34" s="32">
        <v>15608</v>
      </c>
      <c r="P34" s="32" t="s">
        <v>19</v>
      </c>
      <c r="Q34" s="32">
        <v>935953</v>
      </c>
      <c r="R34" s="33" t="s">
        <v>19</v>
      </c>
      <c r="S34" s="35">
        <f>(G34/F34)*100</f>
        <v>91.677283575279219</v>
      </c>
      <c r="T34" s="36">
        <f>(H34/G34)*100</f>
        <v>74.83595892262295</v>
      </c>
      <c r="U34" s="37"/>
      <c r="V34" s="27"/>
      <c r="W34" s="38" t="s">
        <v>1043</v>
      </c>
      <c r="X34" s="39" t="s">
        <v>875</v>
      </c>
      <c r="Y34" s="39" t="s">
        <v>876</v>
      </c>
      <c r="Z34" s="39" t="s">
        <v>877</v>
      </c>
      <c r="AA34" s="39" t="s">
        <v>878</v>
      </c>
      <c r="AB34" s="39" t="s">
        <v>879</v>
      </c>
      <c r="AC34" s="39" t="s">
        <v>880</v>
      </c>
      <c r="AD34" s="39" t="s">
        <v>881</v>
      </c>
      <c r="AE34" s="39" t="s">
        <v>882</v>
      </c>
      <c r="AF34" s="40" t="s">
        <v>883</v>
      </c>
    </row>
    <row r="35" spans="1:32" s="1" customFormat="1" x14ac:dyDescent="0.25">
      <c r="A35" s="26"/>
      <c r="B35" s="27" t="s">
        <v>17</v>
      </c>
      <c r="C35" s="28" t="s">
        <v>16</v>
      </c>
      <c r="D35" s="29">
        <v>6</v>
      </c>
      <c r="E35" s="30" t="s">
        <v>24</v>
      </c>
      <c r="F35" s="31">
        <v>2546761</v>
      </c>
      <c r="G35" s="32">
        <v>2368512</v>
      </c>
      <c r="H35" s="32">
        <v>1695504</v>
      </c>
      <c r="I35" s="33"/>
      <c r="J35" s="31">
        <v>1665036</v>
      </c>
      <c r="K35" s="32">
        <v>37644</v>
      </c>
      <c r="L35" s="32">
        <v>64099</v>
      </c>
      <c r="M35" s="34">
        <v>114092</v>
      </c>
      <c r="N35" s="32">
        <v>862501</v>
      </c>
      <c r="O35" s="32" t="s">
        <v>19</v>
      </c>
      <c r="P35" s="32">
        <v>410234</v>
      </c>
      <c r="Q35" s="32" t="s">
        <v>19</v>
      </c>
      <c r="R35" s="33">
        <v>176454</v>
      </c>
      <c r="S35" s="35">
        <f>(G35/F35)*100</f>
        <v>93.000952975171202</v>
      </c>
      <c r="T35" s="36">
        <f>(H35/G35)*100</f>
        <v>71.585197795071338</v>
      </c>
      <c r="U35" s="37"/>
      <c r="V35" s="27"/>
      <c r="W35" s="38"/>
      <c r="X35" s="39"/>
      <c r="Y35" s="39"/>
      <c r="Z35" s="39"/>
      <c r="AA35" s="39"/>
      <c r="AB35" s="39"/>
      <c r="AC35" s="39"/>
      <c r="AD35" s="39"/>
      <c r="AE35" s="39"/>
      <c r="AF35" s="40"/>
    </row>
    <row r="36" spans="1:32" s="1" customFormat="1" x14ac:dyDescent="0.25">
      <c r="A36" s="26"/>
      <c r="B36" s="27" t="s">
        <v>29</v>
      </c>
      <c r="C36" s="28"/>
      <c r="D36" s="29"/>
      <c r="E36" s="30"/>
      <c r="F36" s="31"/>
      <c r="G36" s="32"/>
      <c r="H36" s="32">
        <v>3301337</v>
      </c>
      <c r="I36" s="33">
        <v>3300426</v>
      </c>
      <c r="J36" s="31">
        <v>3235182</v>
      </c>
      <c r="K36" s="32">
        <v>317086</v>
      </c>
      <c r="L36" s="32">
        <v>384000</v>
      </c>
      <c r="M36" s="34">
        <v>129456</v>
      </c>
      <c r="N36" s="32">
        <v>866366</v>
      </c>
      <c r="O36" s="32">
        <v>15617</v>
      </c>
      <c r="P36" s="32">
        <v>410241</v>
      </c>
      <c r="Q36" s="32">
        <v>935956</v>
      </c>
      <c r="R36" s="33">
        <v>176460</v>
      </c>
      <c r="S36" s="26"/>
      <c r="T36" s="37"/>
      <c r="U36" s="36">
        <f t="shared" ref="U36" si="7">(I36/H36)*100</f>
        <v>99.972405119501587</v>
      </c>
      <c r="V36" s="71">
        <f>(I36/(F34+F35))*100</f>
        <v>67.529735336020408</v>
      </c>
      <c r="W36" s="38"/>
      <c r="X36" s="39"/>
      <c r="Y36" s="39"/>
      <c r="Z36" s="39"/>
      <c r="AA36" s="39"/>
      <c r="AB36" s="39"/>
      <c r="AC36" s="39"/>
      <c r="AD36" s="39"/>
      <c r="AE36" s="39"/>
      <c r="AF36" s="40"/>
    </row>
    <row r="37" spans="1:32" s="1" customFormat="1" x14ac:dyDescent="0.25">
      <c r="A37" s="41">
        <v>20080867</v>
      </c>
      <c r="B37" s="42" t="s">
        <v>14</v>
      </c>
      <c r="C37" s="43" t="s">
        <v>16</v>
      </c>
      <c r="D37" s="44">
        <v>7</v>
      </c>
      <c r="E37" s="45" t="s">
        <v>23</v>
      </c>
      <c r="F37" s="46">
        <v>1773395</v>
      </c>
      <c r="G37" s="47">
        <v>1608561</v>
      </c>
      <c r="H37" s="47">
        <v>1236198</v>
      </c>
      <c r="I37" s="48"/>
      <c r="J37" s="46">
        <v>1219190</v>
      </c>
      <c r="K37" s="47">
        <v>442388</v>
      </c>
      <c r="L37" s="47">
        <v>30387</v>
      </c>
      <c r="M37" s="49">
        <v>56895</v>
      </c>
      <c r="N37" s="47">
        <v>24395</v>
      </c>
      <c r="O37" s="47">
        <v>18593</v>
      </c>
      <c r="P37" s="47" t="s">
        <v>19</v>
      </c>
      <c r="Q37" s="47">
        <v>646515</v>
      </c>
      <c r="R37" s="48" t="s">
        <v>19</v>
      </c>
      <c r="S37" s="50">
        <f>(G37/F37)*100</f>
        <v>90.705172846432973</v>
      </c>
      <c r="T37" s="51">
        <f>(H37/G37)*100</f>
        <v>76.851173191442541</v>
      </c>
      <c r="U37" s="52"/>
      <c r="V37" s="42"/>
      <c r="W37" s="53" t="s">
        <v>1042</v>
      </c>
      <c r="X37" s="54" t="s">
        <v>866</v>
      </c>
      <c r="Y37" s="54" t="s">
        <v>867</v>
      </c>
      <c r="Z37" s="54" t="s">
        <v>868</v>
      </c>
      <c r="AA37" s="54" t="s">
        <v>869</v>
      </c>
      <c r="AB37" s="54" t="s">
        <v>870</v>
      </c>
      <c r="AC37" s="54" t="s">
        <v>871</v>
      </c>
      <c r="AD37" s="54" t="s">
        <v>872</v>
      </c>
      <c r="AE37" s="54" t="s">
        <v>873</v>
      </c>
      <c r="AF37" s="55" t="s">
        <v>874</v>
      </c>
    </row>
    <row r="38" spans="1:32" s="1" customFormat="1" x14ac:dyDescent="0.25">
      <c r="A38" s="41"/>
      <c r="B38" s="42" t="s">
        <v>17</v>
      </c>
      <c r="C38" s="43" t="s">
        <v>16</v>
      </c>
      <c r="D38" s="44">
        <v>7</v>
      </c>
      <c r="E38" s="45" t="s">
        <v>24</v>
      </c>
      <c r="F38" s="46">
        <v>895757</v>
      </c>
      <c r="G38" s="47">
        <v>829121</v>
      </c>
      <c r="H38" s="47">
        <v>604547</v>
      </c>
      <c r="I38" s="48"/>
      <c r="J38" s="46">
        <v>597038</v>
      </c>
      <c r="K38" s="47">
        <v>36859</v>
      </c>
      <c r="L38" s="47" t="s">
        <v>20</v>
      </c>
      <c r="M38" s="49">
        <v>178205</v>
      </c>
      <c r="N38" s="47">
        <v>168237</v>
      </c>
      <c r="O38" s="47" t="s">
        <v>19</v>
      </c>
      <c r="P38" s="47">
        <v>152975</v>
      </c>
      <c r="Q38" s="47" t="s">
        <v>19</v>
      </c>
      <c r="R38" s="48">
        <v>59504</v>
      </c>
      <c r="S38" s="50">
        <f>(G38/F38)*100</f>
        <v>92.560928912640378</v>
      </c>
      <c r="T38" s="51">
        <f>(H38/G38)*100</f>
        <v>72.914206732189868</v>
      </c>
      <c r="U38" s="52"/>
      <c r="V38" s="42"/>
      <c r="W38" s="53"/>
      <c r="X38" s="54"/>
      <c r="Y38" s="54"/>
      <c r="Z38" s="54"/>
      <c r="AA38" s="54"/>
      <c r="AB38" s="54"/>
      <c r="AC38" s="54"/>
      <c r="AD38" s="54"/>
      <c r="AE38" s="54"/>
      <c r="AF38" s="55"/>
    </row>
    <row r="39" spans="1:32" s="1" customFormat="1" x14ac:dyDescent="0.25">
      <c r="A39" s="41"/>
      <c r="B39" s="42" t="s">
        <v>29</v>
      </c>
      <c r="C39" s="43"/>
      <c r="D39" s="44"/>
      <c r="E39" s="45"/>
      <c r="F39" s="46"/>
      <c r="G39" s="47"/>
      <c r="H39" s="47">
        <v>1840745</v>
      </c>
      <c r="I39" s="48">
        <v>1839654</v>
      </c>
      <c r="J39" s="46">
        <v>1816228</v>
      </c>
      <c r="K39" s="47">
        <v>479247</v>
      </c>
      <c r="L39" s="47">
        <v>31636</v>
      </c>
      <c r="M39" s="49">
        <v>235100</v>
      </c>
      <c r="N39" s="47">
        <v>192632</v>
      </c>
      <c r="O39" s="47">
        <v>18601</v>
      </c>
      <c r="P39" s="47">
        <v>152986</v>
      </c>
      <c r="Q39" s="47">
        <v>646516</v>
      </c>
      <c r="R39" s="48">
        <v>59510</v>
      </c>
      <c r="S39" s="41"/>
      <c r="T39" s="52"/>
      <c r="U39" s="51">
        <f t="shared" ref="U39" si="8">(I39/H39)*100</f>
        <v>99.940730519436428</v>
      </c>
      <c r="V39" s="73">
        <f>(I39/(F37+F38))*100</f>
        <v>68.922788960688635</v>
      </c>
      <c r="W39" s="53"/>
      <c r="X39" s="54"/>
      <c r="Y39" s="54"/>
      <c r="Z39" s="54"/>
      <c r="AA39" s="54"/>
      <c r="AB39" s="54"/>
      <c r="AC39" s="54"/>
      <c r="AD39" s="54"/>
      <c r="AE39" s="54"/>
      <c r="AF39" s="55"/>
    </row>
    <row r="40" spans="1:32" s="1" customFormat="1" x14ac:dyDescent="0.25">
      <c r="A40" s="26">
        <v>20080860</v>
      </c>
      <c r="B40" s="27" t="s">
        <v>14</v>
      </c>
      <c r="C40" s="28" t="s">
        <v>16</v>
      </c>
      <c r="D40" s="29">
        <v>8</v>
      </c>
      <c r="E40" s="30" t="s">
        <v>23</v>
      </c>
      <c r="F40" s="31">
        <v>958114</v>
      </c>
      <c r="G40" s="32">
        <v>850448</v>
      </c>
      <c r="H40" s="32">
        <v>617204</v>
      </c>
      <c r="I40" s="33"/>
      <c r="J40" s="31">
        <v>616261</v>
      </c>
      <c r="K40" s="32">
        <v>217682</v>
      </c>
      <c r="L40" s="32">
        <v>74730</v>
      </c>
      <c r="M40" s="34">
        <v>171587</v>
      </c>
      <c r="N40" s="32">
        <v>11317</v>
      </c>
      <c r="O40" s="32">
        <v>93545</v>
      </c>
      <c r="P40" s="32" t="s">
        <v>19</v>
      </c>
      <c r="Q40" s="32">
        <v>47398</v>
      </c>
      <c r="R40" s="33" t="s">
        <v>19</v>
      </c>
      <c r="S40" s="35">
        <f>(G40/F40)*100</f>
        <v>88.762715084008789</v>
      </c>
      <c r="T40" s="36">
        <f>(H40/G40)*100</f>
        <v>72.573984535209675</v>
      </c>
      <c r="U40" s="37"/>
      <c r="V40" s="27"/>
      <c r="W40" s="38" t="s">
        <v>1041</v>
      </c>
      <c r="X40" s="39" t="s">
        <v>857</v>
      </c>
      <c r="Y40" s="39" t="s">
        <v>858</v>
      </c>
      <c r="Z40" s="39" t="s">
        <v>859</v>
      </c>
      <c r="AA40" s="39" t="s">
        <v>860</v>
      </c>
      <c r="AB40" s="39" t="s">
        <v>861</v>
      </c>
      <c r="AC40" s="39" t="s">
        <v>862</v>
      </c>
      <c r="AD40" s="39" t="s">
        <v>863</v>
      </c>
      <c r="AE40" s="39" t="s">
        <v>864</v>
      </c>
      <c r="AF40" s="40" t="s">
        <v>865</v>
      </c>
    </row>
    <row r="41" spans="1:32" s="1" customFormat="1" x14ac:dyDescent="0.25">
      <c r="A41" s="26"/>
      <c r="B41" s="27" t="s">
        <v>17</v>
      </c>
      <c r="C41" s="28" t="s">
        <v>16</v>
      </c>
      <c r="D41" s="29">
        <v>8</v>
      </c>
      <c r="E41" s="30" t="s">
        <v>24</v>
      </c>
      <c r="F41" s="31">
        <v>1613479</v>
      </c>
      <c r="G41" s="32">
        <v>1446486</v>
      </c>
      <c r="H41" s="32">
        <v>1038951</v>
      </c>
      <c r="I41" s="33"/>
      <c r="J41" s="31">
        <v>1037393</v>
      </c>
      <c r="K41" s="32">
        <v>239243</v>
      </c>
      <c r="L41" s="32">
        <v>72535</v>
      </c>
      <c r="M41" s="34">
        <v>333807</v>
      </c>
      <c r="N41" s="32">
        <v>83414</v>
      </c>
      <c r="O41" s="32" t="s">
        <v>19</v>
      </c>
      <c r="P41" s="32">
        <v>235463</v>
      </c>
      <c r="Q41" s="32" t="s">
        <v>19</v>
      </c>
      <c r="R41" s="33">
        <v>72931</v>
      </c>
      <c r="S41" s="35">
        <f>(G41/F41)*100</f>
        <v>89.650128697057724</v>
      </c>
      <c r="T41" s="36">
        <f>(H41/G41)*100</f>
        <v>71.825859358472883</v>
      </c>
      <c r="U41" s="37"/>
      <c r="V41" s="27"/>
      <c r="W41" s="38"/>
      <c r="X41" s="39"/>
      <c r="Y41" s="39"/>
      <c r="Z41" s="39"/>
      <c r="AA41" s="39"/>
      <c r="AB41" s="39"/>
      <c r="AC41" s="39"/>
      <c r="AD41" s="39"/>
      <c r="AE41" s="39"/>
      <c r="AF41" s="40"/>
    </row>
    <row r="42" spans="1:32" s="1" customFormat="1" x14ac:dyDescent="0.25">
      <c r="A42" s="26"/>
      <c r="B42" s="27" t="s">
        <v>29</v>
      </c>
      <c r="C42" s="28"/>
      <c r="D42" s="29"/>
      <c r="E42" s="30"/>
      <c r="F42" s="31"/>
      <c r="G42" s="32"/>
      <c r="H42" s="32">
        <v>1656155</v>
      </c>
      <c r="I42" s="33">
        <v>1655955</v>
      </c>
      <c r="J42" s="31">
        <v>1653654</v>
      </c>
      <c r="K42" s="32">
        <v>456925</v>
      </c>
      <c r="L42" s="32">
        <v>147265</v>
      </c>
      <c r="M42" s="34">
        <v>505394</v>
      </c>
      <c r="N42" s="32">
        <v>94731</v>
      </c>
      <c r="O42" s="32">
        <v>93545</v>
      </c>
      <c r="P42" s="32">
        <v>235465</v>
      </c>
      <c r="Q42" s="32">
        <v>47398</v>
      </c>
      <c r="R42" s="33">
        <v>72931</v>
      </c>
      <c r="S42" s="26"/>
      <c r="T42" s="37"/>
      <c r="U42" s="36">
        <f t="shared" ref="U42" si="9">(I42/H42)*100</f>
        <v>99.987923835631335</v>
      </c>
      <c r="V42" s="71">
        <f>(I42/(F40+F41))*100</f>
        <v>64.394132352981202</v>
      </c>
      <c r="W42" s="38"/>
      <c r="X42" s="39"/>
      <c r="Y42" s="39"/>
      <c r="Z42" s="39"/>
      <c r="AA42" s="39"/>
      <c r="AB42" s="39"/>
      <c r="AC42" s="39"/>
      <c r="AD42" s="39"/>
      <c r="AE42" s="39"/>
      <c r="AF42" s="40"/>
    </row>
    <row r="43" spans="1:32" s="1" customFormat="1" x14ac:dyDescent="0.25">
      <c r="A43" s="41">
        <v>20080933</v>
      </c>
      <c r="B43" s="42" t="s">
        <v>14</v>
      </c>
      <c r="C43" s="43" t="s">
        <v>16</v>
      </c>
      <c r="D43" s="44">
        <v>5</v>
      </c>
      <c r="E43" s="45" t="s">
        <v>23</v>
      </c>
      <c r="F43" s="46">
        <v>1565756</v>
      </c>
      <c r="G43" s="47">
        <v>1408001</v>
      </c>
      <c r="H43" s="47">
        <v>1072596</v>
      </c>
      <c r="I43" s="48"/>
      <c r="J43" s="46">
        <v>1067663</v>
      </c>
      <c r="K43" s="47">
        <v>93056</v>
      </c>
      <c r="L43" s="47">
        <v>613533</v>
      </c>
      <c r="M43" s="49">
        <v>59999</v>
      </c>
      <c r="N43" s="47">
        <v>39218</v>
      </c>
      <c r="O43" s="47">
        <v>18383</v>
      </c>
      <c r="P43" s="44" t="s">
        <v>19</v>
      </c>
      <c r="Q43" s="47">
        <v>243467</v>
      </c>
      <c r="R43" s="45" t="s">
        <v>19</v>
      </c>
      <c r="S43" s="50">
        <f>(G43/F43)*100</f>
        <v>89.924675364488465</v>
      </c>
      <c r="T43" s="51">
        <f>(H43/G43)*100</f>
        <v>76.178639077671107</v>
      </c>
      <c r="U43" s="52"/>
      <c r="V43" s="42"/>
      <c r="W43" s="53" t="s">
        <v>1044</v>
      </c>
      <c r="X43" s="54" t="s">
        <v>884</v>
      </c>
      <c r="Y43" s="54" t="s">
        <v>885</v>
      </c>
      <c r="Z43" s="54" t="s">
        <v>886</v>
      </c>
      <c r="AA43" s="54" t="s">
        <v>887</v>
      </c>
      <c r="AB43" s="54" t="s">
        <v>888</v>
      </c>
      <c r="AC43" s="54" t="s">
        <v>889</v>
      </c>
      <c r="AD43" s="54" t="s">
        <v>890</v>
      </c>
      <c r="AE43" s="54" t="s">
        <v>891</v>
      </c>
      <c r="AF43" s="55" t="s">
        <v>892</v>
      </c>
    </row>
    <row r="44" spans="1:32" s="1" customFormat="1" x14ac:dyDescent="0.25">
      <c r="A44" s="41"/>
      <c r="B44" s="42" t="s">
        <v>17</v>
      </c>
      <c r="C44" s="43" t="s">
        <v>16</v>
      </c>
      <c r="D44" s="44">
        <v>5</v>
      </c>
      <c r="E44" s="45" t="s">
        <v>24</v>
      </c>
      <c r="F44" s="46">
        <v>1610581</v>
      </c>
      <c r="G44" s="47">
        <v>1459009</v>
      </c>
      <c r="H44" s="47">
        <v>1093651</v>
      </c>
      <c r="I44" s="48"/>
      <c r="J44" s="46">
        <v>1025640</v>
      </c>
      <c r="K44" s="47">
        <v>252749</v>
      </c>
      <c r="L44" s="47">
        <v>49927</v>
      </c>
      <c r="M44" s="49">
        <v>339644</v>
      </c>
      <c r="N44" s="47">
        <v>47839</v>
      </c>
      <c r="O44" s="44" t="s">
        <v>19</v>
      </c>
      <c r="P44" s="47">
        <v>253579</v>
      </c>
      <c r="Q44" s="44" t="s">
        <v>19</v>
      </c>
      <c r="R44" s="48">
        <v>81898</v>
      </c>
      <c r="S44" s="50">
        <f>(G44/F44)*100</f>
        <v>90.588986210566247</v>
      </c>
      <c r="T44" s="51">
        <f>(H44/G44)*100</f>
        <v>74.958482092982294</v>
      </c>
      <c r="U44" s="52"/>
      <c r="V44" s="42"/>
      <c r="W44" s="53"/>
      <c r="X44" s="54"/>
      <c r="Y44" s="54"/>
      <c r="Z44" s="54"/>
      <c r="AA44" s="54"/>
      <c r="AB44" s="54"/>
      <c r="AC44" s="54"/>
      <c r="AD44" s="54"/>
      <c r="AE44" s="54"/>
      <c r="AF44" s="55"/>
    </row>
    <row r="45" spans="1:32" s="1" customFormat="1" x14ac:dyDescent="0.25">
      <c r="A45" s="41"/>
      <c r="B45" s="42" t="s">
        <v>29</v>
      </c>
      <c r="C45" s="43"/>
      <c r="D45" s="44"/>
      <c r="E45" s="45"/>
      <c r="F45" s="46"/>
      <c r="G45" s="47"/>
      <c r="H45" s="47">
        <v>2166247</v>
      </c>
      <c r="I45" s="48">
        <v>2165679</v>
      </c>
      <c r="J45" s="46">
        <v>2093303</v>
      </c>
      <c r="K45" s="47">
        <v>345805</v>
      </c>
      <c r="L45" s="47">
        <v>663460</v>
      </c>
      <c r="M45" s="49">
        <v>399643</v>
      </c>
      <c r="N45" s="47">
        <v>87057</v>
      </c>
      <c r="O45" s="47">
        <v>18386</v>
      </c>
      <c r="P45" s="47">
        <v>253584</v>
      </c>
      <c r="Q45" s="47">
        <v>243468</v>
      </c>
      <c r="R45" s="48">
        <v>81900</v>
      </c>
      <c r="S45" s="41"/>
      <c r="T45" s="52"/>
      <c r="U45" s="51">
        <f t="shared" ref="U45" si="10">(I45/H45)*100</f>
        <v>99.973779536682571</v>
      </c>
      <c r="V45" s="73">
        <f>(I45/(F43+F44))*100</f>
        <v>68.181650750534345</v>
      </c>
      <c r="W45" s="53"/>
      <c r="X45" s="54"/>
      <c r="Y45" s="54"/>
      <c r="Z45" s="54"/>
      <c r="AA45" s="54"/>
      <c r="AB45" s="54"/>
      <c r="AC45" s="54"/>
      <c r="AD45" s="54"/>
      <c r="AE45" s="54"/>
      <c r="AF45" s="55"/>
    </row>
    <row r="46" spans="1:32" s="1" customFormat="1" x14ac:dyDescent="0.25">
      <c r="A46" s="26">
        <v>20080980</v>
      </c>
      <c r="B46" s="27" t="s">
        <v>14</v>
      </c>
      <c r="C46" s="28" t="s">
        <v>16</v>
      </c>
      <c r="D46" s="29">
        <v>3</v>
      </c>
      <c r="E46" s="30" t="s">
        <v>23</v>
      </c>
      <c r="F46" s="31">
        <v>3158441</v>
      </c>
      <c r="G46" s="32">
        <v>2766429</v>
      </c>
      <c r="H46" s="32">
        <v>2187241</v>
      </c>
      <c r="I46" s="33"/>
      <c r="J46" s="31">
        <v>2182595</v>
      </c>
      <c r="K46" s="32">
        <v>786946</v>
      </c>
      <c r="L46" s="32">
        <v>248624</v>
      </c>
      <c r="M46" s="34">
        <v>689090</v>
      </c>
      <c r="N46" s="32">
        <v>191771</v>
      </c>
      <c r="O46" s="32">
        <v>139411</v>
      </c>
      <c r="P46" s="29" t="s">
        <v>19</v>
      </c>
      <c r="Q46" s="32">
        <v>126749</v>
      </c>
      <c r="R46" s="30" t="s">
        <v>19</v>
      </c>
      <c r="S46" s="35">
        <f>(G46/F46)*100</f>
        <v>87.58843366078392</v>
      </c>
      <c r="T46" s="36">
        <f>(H46/G46)*100</f>
        <v>79.063695471671238</v>
      </c>
      <c r="U46" s="37"/>
      <c r="V46" s="27"/>
      <c r="W46" s="38" t="s">
        <v>1045</v>
      </c>
      <c r="X46" s="39" t="s">
        <v>893</v>
      </c>
      <c r="Y46" s="39" t="s">
        <v>894</v>
      </c>
      <c r="Z46" s="39" t="s">
        <v>895</v>
      </c>
      <c r="AA46" s="39" t="s">
        <v>896</v>
      </c>
      <c r="AB46" s="39" t="s">
        <v>897</v>
      </c>
      <c r="AC46" s="39" t="s">
        <v>898</v>
      </c>
      <c r="AD46" s="39" t="s">
        <v>899</v>
      </c>
      <c r="AE46" s="39" t="s">
        <v>900</v>
      </c>
      <c r="AF46" s="40" t="s">
        <v>901</v>
      </c>
    </row>
    <row r="47" spans="1:32" s="1" customFormat="1" x14ac:dyDescent="0.25">
      <c r="A47" s="26"/>
      <c r="B47" s="27" t="s">
        <v>17</v>
      </c>
      <c r="C47" s="28" t="s">
        <v>16</v>
      </c>
      <c r="D47" s="29">
        <v>3</v>
      </c>
      <c r="E47" s="30" t="s">
        <v>24</v>
      </c>
      <c r="F47" s="31">
        <v>971134</v>
      </c>
      <c r="G47" s="32">
        <v>859139</v>
      </c>
      <c r="H47" s="32">
        <v>627533</v>
      </c>
      <c r="I47" s="33"/>
      <c r="J47" s="31">
        <v>626217</v>
      </c>
      <c r="K47" s="32">
        <v>86348</v>
      </c>
      <c r="L47" s="32">
        <v>69597</v>
      </c>
      <c r="M47" s="34">
        <v>121942</v>
      </c>
      <c r="N47" s="32">
        <v>138692</v>
      </c>
      <c r="O47" s="29" t="s">
        <v>19</v>
      </c>
      <c r="P47" s="32">
        <v>117866</v>
      </c>
      <c r="Q47" s="29" t="s">
        <v>19</v>
      </c>
      <c r="R47" s="33">
        <v>91771</v>
      </c>
      <c r="S47" s="35">
        <f>(G47/F47)*100</f>
        <v>88.467605912263394</v>
      </c>
      <c r="T47" s="36">
        <f>(H47/G47)*100</f>
        <v>73.042080501525362</v>
      </c>
      <c r="U47" s="37"/>
      <c r="V47" s="27"/>
      <c r="W47" s="38"/>
      <c r="X47" s="39"/>
      <c r="Y47" s="39"/>
      <c r="Z47" s="39"/>
      <c r="AA47" s="39"/>
      <c r="AB47" s="39"/>
      <c r="AC47" s="39"/>
      <c r="AD47" s="39"/>
      <c r="AE47" s="39"/>
      <c r="AF47" s="40"/>
    </row>
    <row r="48" spans="1:32" s="1" customFormat="1" x14ac:dyDescent="0.25">
      <c r="A48" s="26"/>
      <c r="B48" s="27" t="s">
        <v>29</v>
      </c>
      <c r="C48" s="28"/>
      <c r="D48" s="29"/>
      <c r="E48" s="30"/>
      <c r="F48" s="31"/>
      <c r="G48" s="32"/>
      <c r="H48" s="32">
        <v>2814774</v>
      </c>
      <c r="I48" s="33">
        <v>2814296</v>
      </c>
      <c r="J48" s="31">
        <v>2808812</v>
      </c>
      <c r="K48" s="32">
        <v>873294</v>
      </c>
      <c r="L48" s="32">
        <v>318221</v>
      </c>
      <c r="M48" s="34">
        <v>811032</v>
      </c>
      <c r="N48" s="32">
        <v>330463</v>
      </c>
      <c r="O48" s="32">
        <v>139412</v>
      </c>
      <c r="P48" s="32">
        <v>117868</v>
      </c>
      <c r="Q48" s="32">
        <v>126749</v>
      </c>
      <c r="R48" s="33">
        <v>91773</v>
      </c>
      <c r="S48" s="26"/>
      <c r="T48" s="37"/>
      <c r="U48" s="36">
        <f t="shared" ref="U48" si="11">(I48/H48)*100</f>
        <v>99.983018174816166</v>
      </c>
      <c r="V48" s="71">
        <f>(I48/(F46+F47))*100</f>
        <v>68.149773281754179</v>
      </c>
      <c r="W48" s="38"/>
      <c r="X48" s="39"/>
      <c r="Y48" s="39"/>
      <c r="Z48" s="39"/>
      <c r="AA48" s="39"/>
      <c r="AB48" s="39"/>
      <c r="AC48" s="39"/>
      <c r="AD48" s="39"/>
      <c r="AE48" s="39"/>
      <c r="AF48" s="40"/>
    </row>
    <row r="49" spans="1:32" s="1" customFormat="1" x14ac:dyDescent="0.25">
      <c r="A49" s="41">
        <v>20081042</v>
      </c>
      <c r="B49" s="42" t="s">
        <v>14</v>
      </c>
      <c r="C49" s="43" t="s">
        <v>16</v>
      </c>
      <c r="D49" s="44">
        <v>1</v>
      </c>
      <c r="E49" s="45" t="s">
        <v>23</v>
      </c>
      <c r="F49" s="46">
        <v>2365172</v>
      </c>
      <c r="G49" s="47">
        <v>1808456</v>
      </c>
      <c r="H49" s="47">
        <v>1275356</v>
      </c>
      <c r="I49" s="48"/>
      <c r="J49" s="46">
        <v>1272088</v>
      </c>
      <c r="K49" s="47">
        <v>493541</v>
      </c>
      <c r="L49" s="47">
        <v>78885</v>
      </c>
      <c r="M49" s="49">
        <v>339294</v>
      </c>
      <c r="N49" s="75">
        <v>74053</v>
      </c>
      <c r="O49" s="47">
        <v>251570</v>
      </c>
      <c r="P49" s="44" t="s">
        <v>19</v>
      </c>
      <c r="Q49" s="47">
        <v>34741</v>
      </c>
      <c r="R49" s="45" t="s">
        <v>19</v>
      </c>
      <c r="S49" s="50">
        <f>(G49/F49)*100</f>
        <v>76.461923276615835</v>
      </c>
      <c r="T49" s="51">
        <f>(H49/G49)*100</f>
        <v>70.521815294372658</v>
      </c>
      <c r="U49" s="52"/>
      <c r="V49" s="42"/>
      <c r="W49" s="53" t="s">
        <v>1046</v>
      </c>
      <c r="X49" s="54" t="s">
        <v>902</v>
      </c>
      <c r="Y49" s="54" t="s">
        <v>903</v>
      </c>
      <c r="Z49" s="54" t="s">
        <v>904</v>
      </c>
      <c r="AA49" s="54" t="s">
        <v>905</v>
      </c>
      <c r="AB49" s="54" t="s">
        <v>906</v>
      </c>
      <c r="AC49" s="54" t="s">
        <v>907</v>
      </c>
      <c r="AD49" s="54" t="s">
        <v>908</v>
      </c>
      <c r="AE49" s="54" t="s">
        <v>909</v>
      </c>
      <c r="AF49" s="55" t="s">
        <v>910</v>
      </c>
    </row>
    <row r="50" spans="1:32" s="1" customFormat="1" x14ac:dyDescent="0.25">
      <c r="A50" s="41"/>
      <c r="B50" s="42" t="s">
        <v>17</v>
      </c>
      <c r="C50" s="43" t="s">
        <v>16</v>
      </c>
      <c r="D50" s="44">
        <v>1</v>
      </c>
      <c r="E50" s="45" t="s">
        <v>24</v>
      </c>
      <c r="F50" s="46">
        <v>1473864</v>
      </c>
      <c r="G50" s="47">
        <v>1137413</v>
      </c>
      <c r="H50" s="47">
        <v>798917</v>
      </c>
      <c r="I50" s="48"/>
      <c r="J50" s="46">
        <v>796573</v>
      </c>
      <c r="K50" s="47">
        <v>115403</v>
      </c>
      <c r="L50" s="47">
        <v>180188</v>
      </c>
      <c r="M50" s="49">
        <v>174111</v>
      </c>
      <c r="N50" s="47">
        <v>118309</v>
      </c>
      <c r="O50" s="44" t="s">
        <v>19</v>
      </c>
      <c r="P50" s="47">
        <v>102589</v>
      </c>
      <c r="Q50" s="44" t="s">
        <v>19</v>
      </c>
      <c r="R50" s="48">
        <v>105972</v>
      </c>
      <c r="S50" s="50">
        <f>(G50/F50)*100</f>
        <v>77.172181422437887</v>
      </c>
      <c r="T50" s="51">
        <f>(H50/G50)*100</f>
        <v>70.239833727942269</v>
      </c>
      <c r="U50" s="52"/>
      <c r="V50" s="42"/>
      <c r="W50" s="53"/>
      <c r="X50" s="54"/>
      <c r="Y50" s="54"/>
      <c r="Z50" s="54"/>
      <c r="AA50" s="54"/>
      <c r="AB50" s="54"/>
      <c r="AC50" s="54"/>
      <c r="AD50" s="54"/>
      <c r="AE50" s="54"/>
      <c r="AF50" s="55"/>
    </row>
    <row r="51" spans="1:32" s="1" customFormat="1" x14ac:dyDescent="0.25">
      <c r="A51" s="41"/>
      <c r="B51" s="42" t="s">
        <v>29</v>
      </c>
      <c r="C51" s="43"/>
      <c r="D51" s="44"/>
      <c r="E51" s="45"/>
      <c r="F51" s="46"/>
      <c r="G51" s="47"/>
      <c r="H51" s="47">
        <v>2074273</v>
      </c>
      <c r="I51" s="48">
        <v>2071830</v>
      </c>
      <c r="J51" s="46">
        <v>2068661</v>
      </c>
      <c r="K51" s="47">
        <v>608944</v>
      </c>
      <c r="L51" s="47">
        <v>259073</v>
      </c>
      <c r="M51" s="49">
        <v>513405</v>
      </c>
      <c r="N51" s="47">
        <v>192362</v>
      </c>
      <c r="O51" s="47">
        <v>251570</v>
      </c>
      <c r="P51" s="47">
        <v>102591</v>
      </c>
      <c r="Q51" s="47">
        <v>34742</v>
      </c>
      <c r="R51" s="48">
        <v>105974</v>
      </c>
      <c r="S51" s="41"/>
      <c r="T51" s="52"/>
      <c r="U51" s="51">
        <f t="shared" ref="U51" si="12">(I51/H51)*100</f>
        <v>99.882223795999849</v>
      </c>
      <c r="V51" s="73">
        <f>(I51/(F49+F50))*100</f>
        <v>53.967454329680677</v>
      </c>
      <c r="W51" s="53"/>
      <c r="X51" s="54"/>
      <c r="Y51" s="54"/>
      <c r="Z51" s="54"/>
      <c r="AA51" s="54"/>
      <c r="AB51" s="54"/>
      <c r="AC51" s="54"/>
      <c r="AD51" s="54"/>
      <c r="AE51" s="54"/>
      <c r="AF51" s="55"/>
    </row>
    <row r="52" spans="1:32" s="1" customFormat="1" x14ac:dyDescent="0.25">
      <c r="A52" s="26">
        <v>20081054</v>
      </c>
      <c r="B52" s="27" t="s">
        <v>14</v>
      </c>
      <c r="C52" s="28" t="s">
        <v>16</v>
      </c>
      <c r="D52" s="29">
        <v>8</v>
      </c>
      <c r="E52" s="30" t="s">
        <v>15</v>
      </c>
      <c r="F52" s="31">
        <v>1095255</v>
      </c>
      <c r="G52" s="32">
        <v>963885</v>
      </c>
      <c r="H52" s="32">
        <v>712839</v>
      </c>
      <c r="I52" s="33"/>
      <c r="J52" s="31">
        <v>707418</v>
      </c>
      <c r="K52" s="34">
        <v>282836</v>
      </c>
      <c r="L52" s="32">
        <v>28552</v>
      </c>
      <c r="M52" s="34">
        <v>202340</v>
      </c>
      <c r="N52" s="32">
        <v>18544</v>
      </c>
      <c r="O52" s="32">
        <v>158850</v>
      </c>
      <c r="P52" s="32" t="s">
        <v>19</v>
      </c>
      <c r="Q52" s="32">
        <v>16292</v>
      </c>
      <c r="R52" s="33" t="s">
        <v>19</v>
      </c>
      <c r="S52" s="35">
        <f>(G52/F52)*100</f>
        <v>88.005532958078263</v>
      </c>
      <c r="T52" s="36">
        <f>(H52/G52)*100</f>
        <v>73.954776762788086</v>
      </c>
      <c r="U52" s="37"/>
      <c r="V52" s="27"/>
      <c r="W52" s="38" t="s">
        <v>1047</v>
      </c>
      <c r="X52" s="39" t="s">
        <v>911</v>
      </c>
      <c r="Y52" s="39" t="s">
        <v>912</v>
      </c>
      <c r="Z52" s="39" t="s">
        <v>913</v>
      </c>
      <c r="AA52" s="39" t="s">
        <v>914</v>
      </c>
      <c r="AB52" s="39" t="s">
        <v>915</v>
      </c>
      <c r="AC52" s="39" t="s">
        <v>916</v>
      </c>
      <c r="AD52" s="39" t="s">
        <v>917</v>
      </c>
      <c r="AE52" s="39" t="s">
        <v>918</v>
      </c>
      <c r="AF52" s="40" t="s">
        <v>919</v>
      </c>
    </row>
    <row r="53" spans="1:32" s="1" customFormat="1" x14ac:dyDescent="0.25">
      <c r="A53" s="26"/>
      <c r="B53" s="27" t="s">
        <v>17</v>
      </c>
      <c r="C53" s="28" t="s">
        <v>16</v>
      </c>
      <c r="D53" s="29">
        <v>8</v>
      </c>
      <c r="E53" s="30" t="s">
        <v>18</v>
      </c>
      <c r="F53" s="31">
        <v>1653625</v>
      </c>
      <c r="G53" s="32">
        <v>1467314</v>
      </c>
      <c r="H53" s="32">
        <v>1068352</v>
      </c>
      <c r="I53" s="33"/>
      <c r="J53" s="31">
        <v>1064716</v>
      </c>
      <c r="K53" s="34">
        <v>116392</v>
      </c>
      <c r="L53" s="32">
        <v>310539</v>
      </c>
      <c r="M53" s="34">
        <v>164733</v>
      </c>
      <c r="N53" s="32">
        <v>193330</v>
      </c>
      <c r="O53" s="32" t="s">
        <v>19</v>
      </c>
      <c r="P53" s="32">
        <v>112865</v>
      </c>
      <c r="Q53" s="32" t="s">
        <v>19</v>
      </c>
      <c r="R53" s="33">
        <v>166856</v>
      </c>
      <c r="S53" s="35">
        <f>(G53/F53)*100</f>
        <v>88.73317711089274</v>
      </c>
      <c r="T53" s="36">
        <f>(H53/G53)*100</f>
        <v>72.810046111466249</v>
      </c>
      <c r="U53" s="37"/>
      <c r="V53" s="27"/>
      <c r="W53" s="38"/>
      <c r="X53" s="39"/>
      <c r="Y53" s="39"/>
      <c r="Z53" s="39"/>
      <c r="AA53" s="39"/>
      <c r="AB53" s="39"/>
      <c r="AC53" s="39"/>
      <c r="AD53" s="39"/>
      <c r="AE53" s="39"/>
      <c r="AF53" s="40"/>
    </row>
    <row r="54" spans="1:32" s="1" customFormat="1" x14ac:dyDescent="0.25">
      <c r="A54" s="26"/>
      <c r="B54" s="27" t="s">
        <v>29</v>
      </c>
      <c r="C54" s="28"/>
      <c r="D54" s="29"/>
      <c r="E54" s="30"/>
      <c r="F54" s="31"/>
      <c r="G54" s="32"/>
      <c r="H54" s="32">
        <v>1781191</v>
      </c>
      <c r="I54" s="33">
        <v>1779986</v>
      </c>
      <c r="J54" s="31">
        <v>1772134</v>
      </c>
      <c r="K54" s="34">
        <v>399228</v>
      </c>
      <c r="L54" s="32">
        <v>339091</v>
      </c>
      <c r="M54" s="34">
        <v>367073</v>
      </c>
      <c r="N54" s="32">
        <v>211874</v>
      </c>
      <c r="O54" s="32">
        <v>158851</v>
      </c>
      <c r="P54" s="32">
        <v>112868</v>
      </c>
      <c r="Q54" s="32">
        <v>16292</v>
      </c>
      <c r="R54" s="33">
        <v>166857</v>
      </c>
      <c r="S54" s="26"/>
      <c r="T54" s="37"/>
      <c r="U54" s="36">
        <f t="shared" ref="U54" si="13">(I54/H54)*100</f>
        <v>99.932348636389918</v>
      </c>
      <c r="V54" s="71">
        <f>(I54/(F52+F53))*100</f>
        <v>64.75313582258957</v>
      </c>
      <c r="W54" s="38"/>
      <c r="X54" s="39"/>
      <c r="Y54" s="39"/>
      <c r="Z54" s="39"/>
      <c r="AA54" s="39"/>
      <c r="AB54" s="39"/>
      <c r="AC54" s="39"/>
      <c r="AD54" s="39"/>
      <c r="AE54" s="39"/>
      <c r="AF54" s="40"/>
    </row>
    <row r="55" spans="1:32" s="1" customFormat="1" x14ac:dyDescent="0.25">
      <c r="A55" s="41">
        <v>20081084</v>
      </c>
      <c r="B55" s="42" t="s">
        <v>14</v>
      </c>
      <c r="C55" s="43" t="s">
        <v>16</v>
      </c>
      <c r="D55" s="44">
        <v>1</v>
      </c>
      <c r="E55" s="45" t="s">
        <v>25</v>
      </c>
      <c r="F55" s="46">
        <v>1733190</v>
      </c>
      <c r="G55" s="47">
        <v>1291171</v>
      </c>
      <c r="H55" s="47">
        <v>1084219</v>
      </c>
      <c r="I55" s="48"/>
      <c r="J55" s="46">
        <v>499397</v>
      </c>
      <c r="K55" s="47">
        <v>256196</v>
      </c>
      <c r="L55" s="47">
        <v>55696</v>
      </c>
      <c r="M55" s="49">
        <v>108982</v>
      </c>
      <c r="N55" s="47" t="s">
        <v>20</v>
      </c>
      <c r="O55" s="47">
        <v>65209</v>
      </c>
      <c r="P55" s="47" t="s">
        <v>19</v>
      </c>
      <c r="Q55" s="47">
        <v>13180</v>
      </c>
      <c r="R55" s="48" t="s">
        <v>19</v>
      </c>
      <c r="S55" s="50">
        <f>(G55/F55)*100</f>
        <v>74.49679492727283</v>
      </c>
      <c r="T55" s="51">
        <f>(H55/G55)*100</f>
        <v>83.971758969183782</v>
      </c>
      <c r="U55" s="52"/>
      <c r="V55" s="42"/>
      <c r="W55" s="53" t="s">
        <v>1048</v>
      </c>
      <c r="X55" s="54" t="s">
        <v>920</v>
      </c>
      <c r="Y55" s="54" t="s">
        <v>921</v>
      </c>
      <c r="Z55" s="54" t="s">
        <v>922</v>
      </c>
      <c r="AA55" s="54" t="s">
        <v>923</v>
      </c>
      <c r="AB55" s="54" t="s">
        <v>924</v>
      </c>
      <c r="AC55" s="54" t="s">
        <v>925</v>
      </c>
      <c r="AD55" s="54" t="s">
        <v>926</v>
      </c>
      <c r="AE55" s="54" t="s">
        <v>927</v>
      </c>
      <c r="AF55" s="55" t="s">
        <v>928</v>
      </c>
    </row>
    <row r="56" spans="1:32" s="1" customFormat="1" x14ac:dyDescent="0.25">
      <c r="A56" s="41"/>
      <c r="B56" s="42" t="s">
        <v>17</v>
      </c>
      <c r="C56" s="43" t="s">
        <v>16</v>
      </c>
      <c r="D56" s="44">
        <v>1</v>
      </c>
      <c r="E56" s="45" t="s">
        <v>26</v>
      </c>
      <c r="F56" s="46">
        <v>2001274</v>
      </c>
      <c r="G56" s="47">
        <v>1548968</v>
      </c>
      <c r="H56" s="47">
        <v>1132586</v>
      </c>
      <c r="I56" s="48"/>
      <c r="J56" s="46">
        <v>1102651</v>
      </c>
      <c r="K56" s="47">
        <v>212216</v>
      </c>
      <c r="L56" s="47">
        <v>3146</v>
      </c>
      <c r="M56" s="49">
        <v>537063</v>
      </c>
      <c r="N56" s="47">
        <v>10769</v>
      </c>
      <c r="O56" s="47" t="s">
        <v>19</v>
      </c>
      <c r="P56" s="47">
        <v>334169</v>
      </c>
      <c r="Q56" s="47" t="s">
        <v>19</v>
      </c>
      <c r="R56" s="48">
        <v>5285</v>
      </c>
      <c r="S56" s="50">
        <f>(G56/F56)*100</f>
        <v>77.39909677535411</v>
      </c>
      <c r="T56" s="51">
        <f>(H56/G56)*100</f>
        <v>73.118747449915048</v>
      </c>
      <c r="U56" s="52"/>
      <c r="V56" s="42"/>
      <c r="W56" s="53"/>
      <c r="X56" s="54"/>
      <c r="Y56" s="54"/>
      <c r="Z56" s="54"/>
      <c r="AA56" s="54"/>
      <c r="AB56" s="54"/>
      <c r="AC56" s="54"/>
      <c r="AD56" s="54"/>
      <c r="AE56" s="54"/>
      <c r="AF56" s="55"/>
    </row>
    <row r="57" spans="1:32" s="1" customFormat="1" x14ac:dyDescent="0.25">
      <c r="A57" s="41"/>
      <c r="B57" s="42" t="s">
        <v>29</v>
      </c>
      <c r="C57" s="43"/>
      <c r="D57" s="44"/>
      <c r="E57" s="45"/>
      <c r="F57" s="46"/>
      <c r="G57" s="47"/>
      <c r="H57" s="47">
        <v>2216805</v>
      </c>
      <c r="I57" s="48">
        <v>2215113</v>
      </c>
      <c r="J57" s="46">
        <v>1602048</v>
      </c>
      <c r="K57" s="47">
        <v>468412</v>
      </c>
      <c r="L57" s="47">
        <v>58842</v>
      </c>
      <c r="M57" s="49">
        <v>646045</v>
      </c>
      <c r="N57" s="47">
        <v>10894</v>
      </c>
      <c r="O57" s="47">
        <v>65211</v>
      </c>
      <c r="P57" s="47">
        <v>334177</v>
      </c>
      <c r="Q57" s="47">
        <v>13181</v>
      </c>
      <c r="R57" s="48">
        <v>5286</v>
      </c>
      <c r="S57" s="41"/>
      <c r="T57" s="52"/>
      <c r="U57" s="51">
        <f t="shared" ref="U57" si="14">(I57/H57)*100</f>
        <v>99.923673936137831</v>
      </c>
      <c r="V57" s="73">
        <f>(I57/(F55+F56))*100</f>
        <v>59.31541982999434</v>
      </c>
      <c r="W57" s="53"/>
      <c r="X57" s="54"/>
      <c r="Y57" s="54"/>
      <c r="Z57" s="54"/>
      <c r="AA57" s="54"/>
      <c r="AB57" s="54"/>
      <c r="AC57" s="54"/>
      <c r="AD57" s="54"/>
      <c r="AE57" s="54"/>
      <c r="AF57" s="55"/>
    </row>
    <row r="58" spans="1:32" s="1" customFormat="1" x14ac:dyDescent="0.25">
      <c r="A58" s="26">
        <v>20081149</v>
      </c>
      <c r="B58" s="27"/>
      <c r="C58" s="28" t="s">
        <v>32</v>
      </c>
      <c r="D58" s="29">
        <v>7</v>
      </c>
      <c r="E58" s="30" t="s">
        <v>30</v>
      </c>
      <c r="F58" s="31">
        <f>4000000+4000000+1559444</f>
        <v>9559444</v>
      </c>
      <c r="G58" s="32">
        <f>3454202+3470814+1336772</f>
        <v>8261788</v>
      </c>
      <c r="H58" s="32">
        <f>2894367+2906885+1119566</f>
        <v>6920818</v>
      </c>
      <c r="I58" s="33">
        <v>6920815</v>
      </c>
      <c r="J58" s="31">
        <v>6906197</v>
      </c>
      <c r="K58" s="32">
        <v>1749390</v>
      </c>
      <c r="L58" s="32">
        <v>1360537</v>
      </c>
      <c r="M58" s="34">
        <v>1418470</v>
      </c>
      <c r="N58" s="32">
        <v>184169</v>
      </c>
      <c r="O58" s="32">
        <v>665108</v>
      </c>
      <c r="P58" s="32">
        <v>483904</v>
      </c>
      <c r="Q58" s="32">
        <v>435263</v>
      </c>
      <c r="R58" s="72">
        <v>609356</v>
      </c>
      <c r="S58" s="35">
        <f t="shared" ref="S58:T61" si="15">(G58/F58)*100</f>
        <v>86.425402983688173</v>
      </c>
      <c r="T58" s="36">
        <f t="shared" si="15"/>
        <v>83.769009807562227</v>
      </c>
      <c r="U58" s="36">
        <f t="shared" ref="U58" si="16">(I58/H58)*100</f>
        <v>99.999956652522869</v>
      </c>
      <c r="V58" s="71">
        <f>(I58/F58)*100</f>
        <v>72.39767291905261</v>
      </c>
      <c r="W58" s="38" t="s">
        <v>1049</v>
      </c>
      <c r="X58" s="39" t="s">
        <v>929</v>
      </c>
      <c r="Y58" s="39" t="s">
        <v>930</v>
      </c>
      <c r="Z58" s="39" t="s">
        <v>931</v>
      </c>
      <c r="AA58" s="39" t="s">
        <v>932</v>
      </c>
      <c r="AB58" s="39" t="s">
        <v>933</v>
      </c>
      <c r="AC58" s="39" t="s">
        <v>934</v>
      </c>
      <c r="AD58" s="39" t="s">
        <v>935</v>
      </c>
      <c r="AE58" s="39" t="s">
        <v>936</v>
      </c>
      <c r="AF58" s="40" t="s">
        <v>937</v>
      </c>
    </row>
    <row r="59" spans="1:32" s="1" customFormat="1" x14ac:dyDescent="0.25">
      <c r="A59" s="41">
        <v>20081170</v>
      </c>
      <c r="B59" s="42"/>
      <c r="C59" s="43" t="s">
        <v>32</v>
      </c>
      <c r="D59" s="44">
        <v>7</v>
      </c>
      <c r="E59" s="45" t="s">
        <v>31</v>
      </c>
      <c r="F59" s="46">
        <f>4000000+4000000+4000000+2428316</f>
        <v>14428316</v>
      </c>
      <c r="G59" s="47">
        <f>3426463+3439410+3446830+2070504</f>
        <v>12383207</v>
      </c>
      <c r="H59" s="47">
        <f>2816382+2820216+2830161+1704654</f>
        <v>10171413</v>
      </c>
      <c r="I59" s="48">
        <v>10171410</v>
      </c>
      <c r="J59" s="46">
        <v>10157147</v>
      </c>
      <c r="K59" s="47">
        <v>2995384</v>
      </c>
      <c r="L59" s="47">
        <v>2605544</v>
      </c>
      <c r="M59" s="49">
        <v>1924777</v>
      </c>
      <c r="N59" s="47">
        <v>68696</v>
      </c>
      <c r="O59" s="47">
        <v>635074</v>
      </c>
      <c r="P59" s="47">
        <v>479963</v>
      </c>
      <c r="Q59" s="47">
        <v>801201</v>
      </c>
      <c r="R59" s="74">
        <v>646508</v>
      </c>
      <c r="S59" s="50">
        <f t="shared" si="15"/>
        <v>85.825726300976498</v>
      </c>
      <c r="T59" s="51">
        <f t="shared" si="15"/>
        <v>82.138762600027604</v>
      </c>
      <c r="U59" s="51">
        <f t="shared" ref="U59" si="17">(I59/H59)*100</f>
        <v>99.999970505572819</v>
      </c>
      <c r="V59" s="73">
        <f>(I59/F59)*100</f>
        <v>70.496168783661233</v>
      </c>
      <c r="W59" s="53" t="s">
        <v>1052</v>
      </c>
      <c r="X59" s="54" t="s">
        <v>955</v>
      </c>
      <c r="Y59" s="54" t="s">
        <v>956</v>
      </c>
      <c r="Z59" s="54" t="s">
        <v>957</v>
      </c>
      <c r="AA59" s="54" t="s">
        <v>958</v>
      </c>
      <c r="AB59" s="54" t="s">
        <v>959</v>
      </c>
      <c r="AC59" s="54" t="s">
        <v>960</v>
      </c>
      <c r="AD59" s="54" t="s">
        <v>961</v>
      </c>
      <c r="AE59" s="54" t="s">
        <v>962</v>
      </c>
      <c r="AF59" s="55" t="s">
        <v>963</v>
      </c>
    </row>
    <row r="60" spans="1:32" s="1" customFormat="1" x14ac:dyDescent="0.25">
      <c r="A60" s="26">
        <v>20081164</v>
      </c>
      <c r="B60" s="27" t="s">
        <v>14</v>
      </c>
      <c r="C60" s="28" t="s">
        <v>16</v>
      </c>
      <c r="D60" s="29">
        <v>7</v>
      </c>
      <c r="E60" s="30" t="s">
        <v>27</v>
      </c>
      <c r="F60" s="31">
        <v>2401417</v>
      </c>
      <c r="G60" s="32">
        <v>2199222</v>
      </c>
      <c r="H60" s="32">
        <v>1653183</v>
      </c>
      <c r="I60" s="33"/>
      <c r="J60" s="31">
        <v>1634486</v>
      </c>
      <c r="K60" s="32">
        <v>434942</v>
      </c>
      <c r="L60" s="32">
        <v>318037</v>
      </c>
      <c r="M60" s="34">
        <v>90517</v>
      </c>
      <c r="N60" s="32">
        <v>13691</v>
      </c>
      <c r="O60" s="32" t="s">
        <v>20</v>
      </c>
      <c r="P60" s="32" t="s">
        <v>19</v>
      </c>
      <c r="Q60" s="32">
        <v>770072</v>
      </c>
      <c r="R60" s="72" t="s">
        <v>19</v>
      </c>
      <c r="S60" s="35">
        <f t="shared" si="15"/>
        <v>91.58017953566582</v>
      </c>
      <c r="T60" s="36">
        <f t="shared" si="15"/>
        <v>75.171265111025633</v>
      </c>
      <c r="U60" s="37"/>
      <c r="V60" s="27"/>
      <c r="W60" s="38" t="s">
        <v>1051</v>
      </c>
      <c r="X60" s="39" t="s">
        <v>947</v>
      </c>
      <c r="Y60" s="39" t="s">
        <v>948</v>
      </c>
      <c r="Z60" s="39" t="s">
        <v>949</v>
      </c>
      <c r="AA60" s="39" t="s">
        <v>950</v>
      </c>
      <c r="AB60" s="39" t="s">
        <v>951</v>
      </c>
      <c r="AC60" s="39" t="s">
        <v>952</v>
      </c>
      <c r="AD60" s="39" t="s">
        <v>953</v>
      </c>
      <c r="AE60" s="39" t="s">
        <v>251</v>
      </c>
      <c r="AF60" s="40" t="s">
        <v>954</v>
      </c>
    </row>
    <row r="61" spans="1:32" s="1" customFormat="1" x14ac:dyDescent="0.25">
      <c r="A61" s="26"/>
      <c r="B61" s="27" t="s">
        <v>17</v>
      </c>
      <c r="C61" s="28" t="s">
        <v>16</v>
      </c>
      <c r="D61" s="29">
        <v>7</v>
      </c>
      <c r="E61" s="30" t="s">
        <v>28</v>
      </c>
      <c r="F61" s="31">
        <v>1868236</v>
      </c>
      <c r="G61" s="32">
        <v>1731320</v>
      </c>
      <c r="H61" s="32">
        <v>1235202</v>
      </c>
      <c r="I61" s="33"/>
      <c r="J61" s="31">
        <v>1223012</v>
      </c>
      <c r="K61" s="32">
        <v>162745</v>
      </c>
      <c r="L61" s="32">
        <v>12695</v>
      </c>
      <c r="M61" s="34">
        <v>409953</v>
      </c>
      <c r="N61" s="32">
        <v>295267</v>
      </c>
      <c r="O61" s="32" t="s">
        <v>19</v>
      </c>
      <c r="P61" s="32">
        <v>341754</v>
      </c>
      <c r="Q61" s="32" t="s">
        <v>19</v>
      </c>
      <c r="R61" s="33" t="s">
        <v>20</v>
      </c>
      <c r="S61" s="35">
        <f t="shared" si="15"/>
        <v>92.671375564971441</v>
      </c>
      <c r="T61" s="36">
        <f t="shared" si="15"/>
        <v>71.344523253933417</v>
      </c>
      <c r="U61" s="37"/>
      <c r="V61" s="27"/>
      <c r="W61" s="38"/>
      <c r="X61" s="39"/>
      <c r="Y61" s="39"/>
      <c r="Z61" s="39"/>
      <c r="AA61" s="39"/>
      <c r="AB61" s="39"/>
      <c r="AC61" s="39"/>
      <c r="AD61" s="39"/>
      <c r="AE61" s="39"/>
      <c r="AF61" s="40"/>
    </row>
    <row r="62" spans="1:32" s="1" customFormat="1" x14ac:dyDescent="0.25">
      <c r="A62" s="26"/>
      <c r="B62" s="27" t="s">
        <v>29</v>
      </c>
      <c r="C62" s="28"/>
      <c r="D62" s="29"/>
      <c r="E62" s="30"/>
      <c r="F62" s="31"/>
      <c r="G62" s="32"/>
      <c r="H62" s="32">
        <v>2888385</v>
      </c>
      <c r="I62" s="33">
        <v>2886674</v>
      </c>
      <c r="J62" s="31">
        <v>2857498</v>
      </c>
      <c r="K62" s="32">
        <v>597687</v>
      </c>
      <c r="L62" s="32">
        <v>330732</v>
      </c>
      <c r="M62" s="34">
        <v>500470</v>
      </c>
      <c r="N62" s="32">
        <v>308958</v>
      </c>
      <c r="O62" s="32">
        <v>7219</v>
      </c>
      <c r="P62" s="32">
        <v>341757</v>
      </c>
      <c r="Q62" s="32">
        <v>770072</v>
      </c>
      <c r="R62" s="33"/>
      <c r="S62" s="26"/>
      <c r="T62" s="37"/>
      <c r="U62" s="36">
        <f t="shared" ref="U62" si="18">(I62/H62)*100</f>
        <v>99.94076274457872</v>
      </c>
      <c r="V62" s="71">
        <f>(I62/(F60+F61))*100</f>
        <v>67.609100786410508</v>
      </c>
      <c r="W62" s="38"/>
      <c r="X62" s="39"/>
      <c r="Y62" s="39"/>
      <c r="Z62" s="39"/>
      <c r="AA62" s="39"/>
      <c r="AB62" s="39"/>
      <c r="AC62" s="39"/>
      <c r="AD62" s="39"/>
      <c r="AE62" s="39"/>
      <c r="AF62" s="40"/>
    </row>
    <row r="63" spans="1:32" s="1" customFormat="1" x14ac:dyDescent="0.25">
      <c r="A63" s="41">
        <v>20081154</v>
      </c>
      <c r="B63" s="42" t="s">
        <v>14</v>
      </c>
      <c r="C63" s="43" t="s">
        <v>16</v>
      </c>
      <c r="D63" s="44">
        <v>8</v>
      </c>
      <c r="E63" s="45" t="s">
        <v>27</v>
      </c>
      <c r="F63" s="46">
        <v>2030132</v>
      </c>
      <c r="G63" s="47">
        <v>1796526</v>
      </c>
      <c r="H63" s="47">
        <v>1303011</v>
      </c>
      <c r="I63" s="48"/>
      <c r="J63" s="46">
        <v>1299967</v>
      </c>
      <c r="K63" s="47">
        <v>333719</v>
      </c>
      <c r="L63" s="47">
        <v>252293</v>
      </c>
      <c r="M63" s="49">
        <v>246093</v>
      </c>
      <c r="N63" s="47">
        <v>147946</v>
      </c>
      <c r="O63" s="47">
        <v>174533</v>
      </c>
      <c r="P63" s="47" t="s">
        <v>19</v>
      </c>
      <c r="Q63" s="47">
        <v>145383</v>
      </c>
      <c r="R63" s="48" t="s">
        <v>19</v>
      </c>
      <c r="S63" s="50">
        <f>(G63/F63)*100</f>
        <v>88.493063505230211</v>
      </c>
      <c r="T63" s="51">
        <f>(H63/G63)*100</f>
        <v>72.529481900067125</v>
      </c>
      <c r="U63" s="52"/>
      <c r="V63" s="42"/>
      <c r="W63" s="53" t="s">
        <v>1050</v>
      </c>
      <c r="X63" s="54" t="s">
        <v>938</v>
      </c>
      <c r="Y63" s="54" t="s">
        <v>939</v>
      </c>
      <c r="Z63" s="54" t="s">
        <v>940</v>
      </c>
      <c r="AA63" s="54" t="s">
        <v>941</v>
      </c>
      <c r="AB63" s="54" t="s">
        <v>942</v>
      </c>
      <c r="AC63" s="54" t="s">
        <v>943</v>
      </c>
      <c r="AD63" s="54" t="s">
        <v>944</v>
      </c>
      <c r="AE63" s="54" t="s">
        <v>945</v>
      </c>
      <c r="AF63" s="55" t="s">
        <v>946</v>
      </c>
    </row>
    <row r="64" spans="1:32" s="1" customFormat="1" x14ac:dyDescent="0.25">
      <c r="A64" s="41"/>
      <c r="B64" s="42" t="s">
        <v>17</v>
      </c>
      <c r="C64" s="43" t="s">
        <v>16</v>
      </c>
      <c r="D64" s="44">
        <v>8</v>
      </c>
      <c r="E64" s="45" t="s">
        <v>28</v>
      </c>
      <c r="F64" s="46">
        <v>2224027</v>
      </c>
      <c r="G64" s="47">
        <v>1984715</v>
      </c>
      <c r="H64" s="47">
        <v>1441557</v>
      </c>
      <c r="I64" s="48"/>
      <c r="J64" s="46">
        <v>1438159</v>
      </c>
      <c r="K64" s="47">
        <v>8810</v>
      </c>
      <c r="L64" s="47">
        <v>619422</v>
      </c>
      <c r="M64" s="49">
        <v>1006</v>
      </c>
      <c r="N64" s="47">
        <v>454557</v>
      </c>
      <c r="O64" s="47" t="s">
        <v>19</v>
      </c>
      <c r="P64" s="47" t="s">
        <v>20</v>
      </c>
      <c r="Q64" s="47" t="s">
        <v>19</v>
      </c>
      <c r="R64" s="48">
        <v>337648</v>
      </c>
      <c r="S64" s="50">
        <f>(G64/F64)*100</f>
        <v>89.239698978474635</v>
      </c>
      <c r="T64" s="51">
        <f>(H64/G64)*100</f>
        <v>72.632947299738248</v>
      </c>
      <c r="U64" s="52"/>
      <c r="V64" s="42"/>
      <c r="W64" s="53"/>
      <c r="X64" s="54"/>
      <c r="Y64" s="54"/>
      <c r="Z64" s="54"/>
      <c r="AA64" s="54"/>
      <c r="AB64" s="54"/>
      <c r="AC64" s="54"/>
      <c r="AD64" s="54"/>
      <c r="AE64" s="54"/>
      <c r="AF64" s="55"/>
    </row>
    <row r="65" spans="1:32" s="1" customFormat="1" x14ac:dyDescent="0.25">
      <c r="A65" s="41"/>
      <c r="B65" s="42" t="s">
        <v>29</v>
      </c>
      <c r="C65" s="43"/>
      <c r="D65" s="44"/>
      <c r="E65" s="45"/>
      <c r="F65" s="46"/>
      <c r="G65" s="47"/>
      <c r="H65" s="47">
        <v>2744568</v>
      </c>
      <c r="I65" s="48">
        <v>2744356</v>
      </c>
      <c r="J65" s="46">
        <v>2738125</v>
      </c>
      <c r="K65" s="47">
        <v>342529</v>
      </c>
      <c r="L65" s="47">
        <v>871715</v>
      </c>
      <c r="M65" s="49">
        <v>256099</v>
      </c>
      <c r="N65" s="47">
        <v>602502</v>
      </c>
      <c r="O65" s="47">
        <v>174534</v>
      </c>
      <c r="P65" s="47">
        <v>7715</v>
      </c>
      <c r="Q65" s="47">
        <v>145383</v>
      </c>
      <c r="R65" s="48">
        <v>337648</v>
      </c>
      <c r="S65" s="41"/>
      <c r="T65" s="52"/>
      <c r="U65" s="51">
        <f t="shared" ref="U65" si="19">(I65/H65)*100</f>
        <v>99.992275651395772</v>
      </c>
      <c r="V65" s="73">
        <f>(I65/(F63+F64))*100</f>
        <v>64.509953671219151</v>
      </c>
      <c r="W65" s="53"/>
      <c r="X65" s="54"/>
      <c r="Y65" s="54"/>
      <c r="Z65" s="54"/>
      <c r="AA65" s="54"/>
      <c r="AB65" s="54"/>
      <c r="AC65" s="54"/>
      <c r="AD65" s="54"/>
      <c r="AE65" s="54"/>
      <c r="AF65" s="55"/>
    </row>
    <row r="66" spans="1:32" s="1" customFormat="1" x14ac:dyDescent="0.25">
      <c r="A66" s="26">
        <v>20081207</v>
      </c>
      <c r="B66" s="27" t="s">
        <v>14</v>
      </c>
      <c r="C66" s="28" t="s">
        <v>16</v>
      </c>
      <c r="D66" s="29">
        <v>6</v>
      </c>
      <c r="E66" s="30" t="s">
        <v>27</v>
      </c>
      <c r="F66" s="31">
        <v>2857462</v>
      </c>
      <c r="G66" s="32">
        <v>2620053</v>
      </c>
      <c r="H66" s="32">
        <v>2100956</v>
      </c>
      <c r="I66" s="33"/>
      <c r="J66" s="31">
        <v>2065464</v>
      </c>
      <c r="K66" s="32">
        <v>897787</v>
      </c>
      <c r="L66" s="32">
        <v>110370</v>
      </c>
      <c r="M66" s="34">
        <v>543592</v>
      </c>
      <c r="N66" s="32">
        <v>58617</v>
      </c>
      <c r="O66" s="32">
        <v>376127</v>
      </c>
      <c r="P66" s="32" t="s">
        <v>19</v>
      </c>
      <c r="Q66" s="32">
        <v>78967</v>
      </c>
      <c r="R66" s="33" t="s">
        <v>19</v>
      </c>
      <c r="S66" s="35">
        <f>(G66/F66)*100</f>
        <v>91.691613046822667</v>
      </c>
      <c r="T66" s="36">
        <f>(H66/G66)*100</f>
        <v>80.187538191021318</v>
      </c>
      <c r="U66" s="37"/>
      <c r="V66" s="27"/>
      <c r="W66" s="38" t="s">
        <v>1053</v>
      </c>
      <c r="X66" s="39" t="s">
        <v>964</v>
      </c>
      <c r="Y66" s="39" t="s">
        <v>965</v>
      </c>
      <c r="Z66" s="39" t="s">
        <v>966</v>
      </c>
      <c r="AA66" s="39" t="s">
        <v>967</v>
      </c>
      <c r="AB66" s="39" t="s">
        <v>968</v>
      </c>
      <c r="AC66" s="39" t="s">
        <v>969</v>
      </c>
      <c r="AD66" s="39" t="s">
        <v>970</v>
      </c>
      <c r="AE66" s="39" t="s">
        <v>251</v>
      </c>
      <c r="AF66" s="40" t="s">
        <v>971</v>
      </c>
    </row>
    <row r="67" spans="1:32" s="1" customFormat="1" x14ac:dyDescent="0.25">
      <c r="A67" s="26"/>
      <c r="B67" s="27" t="s">
        <v>17</v>
      </c>
      <c r="C67" s="28" t="s">
        <v>16</v>
      </c>
      <c r="D67" s="29">
        <v>6</v>
      </c>
      <c r="E67" s="30" t="s">
        <v>28</v>
      </c>
      <c r="F67" s="31">
        <v>1550185</v>
      </c>
      <c r="G67" s="32">
        <v>1441868</v>
      </c>
      <c r="H67" s="32">
        <v>1084850</v>
      </c>
      <c r="I67" s="33"/>
      <c r="J67" s="31">
        <v>1055720</v>
      </c>
      <c r="K67" s="32">
        <v>9161</v>
      </c>
      <c r="L67" s="32">
        <v>416775</v>
      </c>
      <c r="M67" s="34">
        <v>5382</v>
      </c>
      <c r="N67" s="32">
        <v>616227</v>
      </c>
      <c r="O67" s="32" t="s">
        <v>19</v>
      </c>
      <c r="P67" s="32" t="s">
        <v>20</v>
      </c>
      <c r="Q67" s="32" t="s">
        <v>19</v>
      </c>
      <c r="R67" s="33" t="s">
        <v>20</v>
      </c>
      <c r="S67" s="35">
        <f>(G67/F67)*100</f>
        <v>93.012640426787769</v>
      </c>
      <c r="T67" s="36">
        <f>(H67/G67)*100</f>
        <v>75.239203588678009</v>
      </c>
      <c r="U67" s="37"/>
      <c r="V67" s="27"/>
      <c r="W67" s="38"/>
      <c r="X67" s="39"/>
      <c r="Y67" s="39"/>
      <c r="Z67" s="39"/>
      <c r="AA67" s="39"/>
      <c r="AB67" s="39"/>
      <c r="AC67" s="39"/>
      <c r="AD67" s="39"/>
      <c r="AE67" s="39"/>
      <c r="AF67" s="40"/>
    </row>
    <row r="68" spans="1:32" s="1" customFormat="1" x14ac:dyDescent="0.25">
      <c r="A68" s="26"/>
      <c r="B68" s="27" t="s">
        <v>29</v>
      </c>
      <c r="C68" s="28"/>
      <c r="D68" s="29"/>
      <c r="E68" s="30"/>
      <c r="F68" s="31"/>
      <c r="G68" s="32"/>
      <c r="H68" s="32">
        <v>3185806</v>
      </c>
      <c r="I68" s="33">
        <v>3184504</v>
      </c>
      <c r="J68" s="31">
        <v>3121184</v>
      </c>
      <c r="K68" s="32">
        <v>906948</v>
      </c>
      <c r="L68" s="32">
        <v>527145</v>
      </c>
      <c r="M68" s="34">
        <v>548974</v>
      </c>
      <c r="N68" s="32">
        <v>674844</v>
      </c>
      <c r="O68" s="32">
        <v>376129</v>
      </c>
      <c r="P68" s="32">
        <v>7199</v>
      </c>
      <c r="Q68" s="32">
        <v>78968</v>
      </c>
      <c r="R68" s="33"/>
      <c r="S68" s="26"/>
      <c r="T68" s="37"/>
      <c r="U68" s="36">
        <f t="shared" ref="U68" si="20">(I68/H68)*100</f>
        <v>99.95913122142403</v>
      </c>
      <c r="V68" s="71">
        <f>(I68/(F66+F67))*100</f>
        <v>72.249524519545233</v>
      </c>
      <c r="W68" s="38"/>
      <c r="X68" s="39"/>
      <c r="Y68" s="39"/>
      <c r="Z68" s="39"/>
      <c r="AA68" s="39"/>
      <c r="AB68" s="39"/>
      <c r="AC68" s="39"/>
      <c r="AD68" s="39"/>
      <c r="AE68" s="39"/>
      <c r="AF68" s="40"/>
    </row>
    <row r="69" spans="1:32" s="1" customFormat="1" x14ac:dyDescent="0.25">
      <c r="A69" s="41">
        <v>20081212</v>
      </c>
      <c r="B69" s="42" t="s">
        <v>14</v>
      </c>
      <c r="C69" s="43" t="s">
        <v>16</v>
      </c>
      <c r="D69" s="44">
        <v>5</v>
      </c>
      <c r="E69" s="45" t="s">
        <v>27</v>
      </c>
      <c r="F69" s="46">
        <v>1405425</v>
      </c>
      <c r="G69" s="47">
        <v>1254212</v>
      </c>
      <c r="H69" s="47">
        <v>1024191</v>
      </c>
      <c r="I69" s="48"/>
      <c r="J69" s="46">
        <v>1019123</v>
      </c>
      <c r="K69" s="47">
        <v>593864</v>
      </c>
      <c r="L69" s="47">
        <v>16595</v>
      </c>
      <c r="M69" s="49">
        <v>356941</v>
      </c>
      <c r="N69" s="47">
        <v>4867</v>
      </c>
      <c r="O69" s="47">
        <v>20494</v>
      </c>
      <c r="P69" s="47" t="s">
        <v>19</v>
      </c>
      <c r="Q69" s="47">
        <v>26357</v>
      </c>
      <c r="R69" s="48" t="s">
        <v>19</v>
      </c>
      <c r="S69" s="50">
        <f>(G69/F69)*100</f>
        <v>89.240763470124691</v>
      </c>
      <c r="T69" s="51">
        <f>(H69/G69)*100</f>
        <v>81.660118066164259</v>
      </c>
      <c r="U69" s="52"/>
      <c r="V69" s="42"/>
      <c r="W69" s="53" t="s">
        <v>1054</v>
      </c>
      <c r="X69" s="54" t="s">
        <v>972</v>
      </c>
      <c r="Y69" s="54" t="s">
        <v>973</v>
      </c>
      <c r="Z69" s="54" t="s">
        <v>974</v>
      </c>
      <c r="AA69" s="54" t="s">
        <v>975</v>
      </c>
      <c r="AB69" s="54" t="s">
        <v>976</v>
      </c>
      <c r="AC69" s="54" t="s">
        <v>977</v>
      </c>
      <c r="AD69" s="54" t="s">
        <v>978</v>
      </c>
      <c r="AE69" s="54" t="s">
        <v>979</v>
      </c>
      <c r="AF69" s="55" t="s">
        <v>980</v>
      </c>
    </row>
    <row r="70" spans="1:32" s="1" customFormat="1" x14ac:dyDescent="0.25">
      <c r="A70" s="41"/>
      <c r="B70" s="42" t="s">
        <v>17</v>
      </c>
      <c r="C70" s="43" t="s">
        <v>16</v>
      </c>
      <c r="D70" s="44">
        <v>5</v>
      </c>
      <c r="E70" s="45" t="s">
        <v>28</v>
      </c>
      <c r="F70" s="46">
        <v>871873</v>
      </c>
      <c r="G70" s="47">
        <v>794368</v>
      </c>
      <c r="H70" s="47">
        <v>607165</v>
      </c>
      <c r="I70" s="48"/>
      <c r="J70" s="46">
        <v>602839</v>
      </c>
      <c r="K70" s="47">
        <v>88226</v>
      </c>
      <c r="L70" s="47">
        <v>4520</v>
      </c>
      <c r="M70" s="49">
        <v>325671</v>
      </c>
      <c r="N70" s="47">
        <v>12965</v>
      </c>
      <c r="O70" s="47" t="s">
        <v>19</v>
      </c>
      <c r="P70" s="47">
        <v>162815</v>
      </c>
      <c r="Q70" s="47" t="s">
        <v>19</v>
      </c>
      <c r="R70" s="48">
        <v>8642</v>
      </c>
      <c r="S70" s="50">
        <f>(G70/F70)*100</f>
        <v>91.110517242763564</v>
      </c>
      <c r="T70" s="51">
        <f>(H70/G70)*100</f>
        <v>76.433718377376735</v>
      </c>
      <c r="U70" s="52"/>
      <c r="V70" s="42"/>
      <c r="W70" s="53"/>
      <c r="X70" s="54"/>
      <c r="Y70" s="54"/>
      <c r="Z70" s="54"/>
      <c r="AA70" s="54"/>
      <c r="AB70" s="54"/>
      <c r="AC70" s="54"/>
      <c r="AD70" s="54"/>
      <c r="AE70" s="54"/>
      <c r="AF70" s="55"/>
    </row>
    <row r="71" spans="1:32" s="1" customFormat="1" x14ac:dyDescent="0.25">
      <c r="A71" s="41"/>
      <c r="B71" s="42" t="s">
        <v>29</v>
      </c>
      <c r="C71" s="43"/>
      <c r="D71" s="44"/>
      <c r="E71" s="45"/>
      <c r="F71" s="46"/>
      <c r="G71" s="47"/>
      <c r="H71" s="47">
        <v>1631356</v>
      </c>
      <c r="I71" s="48">
        <v>1631065</v>
      </c>
      <c r="J71" s="46">
        <v>1621962</v>
      </c>
      <c r="K71" s="47">
        <v>682090</v>
      </c>
      <c r="L71" s="47">
        <v>21115</v>
      </c>
      <c r="M71" s="49">
        <v>682612</v>
      </c>
      <c r="N71" s="47">
        <v>17832</v>
      </c>
      <c r="O71" s="47">
        <v>20494</v>
      </c>
      <c r="P71" s="47">
        <v>162819</v>
      </c>
      <c r="Q71" s="47">
        <v>26357</v>
      </c>
      <c r="R71" s="48">
        <v>8643</v>
      </c>
      <c r="S71" s="41"/>
      <c r="T71" s="52"/>
      <c r="U71" s="51">
        <f t="shared" ref="U71" si="21">(I71/H71)*100</f>
        <v>99.982162078663393</v>
      </c>
      <c r="V71" s="73">
        <f>(I71/(F69+F70))*100</f>
        <v>71.622817918427899</v>
      </c>
      <c r="W71" s="53"/>
      <c r="X71" s="54"/>
      <c r="Y71" s="54"/>
      <c r="Z71" s="54"/>
      <c r="AA71" s="54"/>
      <c r="AB71" s="54"/>
      <c r="AC71" s="54"/>
      <c r="AD71" s="54"/>
      <c r="AE71" s="54"/>
      <c r="AF71" s="55"/>
    </row>
    <row r="72" spans="1:32" s="1" customFormat="1" x14ac:dyDescent="0.25">
      <c r="A72" s="26">
        <v>20090224</v>
      </c>
      <c r="B72" s="27" t="s">
        <v>14</v>
      </c>
      <c r="C72" s="28" t="s">
        <v>16</v>
      </c>
      <c r="D72" s="29">
        <v>2</v>
      </c>
      <c r="E72" s="30" t="s">
        <v>27</v>
      </c>
      <c r="F72" s="31">
        <f>4000000+751791</f>
        <v>4751791</v>
      </c>
      <c r="G72" s="32">
        <f>3343210+629914</f>
        <v>3973124</v>
      </c>
      <c r="H72" s="32">
        <f>2363893+446496</f>
        <v>2810389</v>
      </c>
      <c r="I72" s="33"/>
      <c r="J72" s="31">
        <v>2803622</v>
      </c>
      <c r="K72" s="32">
        <v>76276</v>
      </c>
      <c r="L72" s="32">
        <v>1383200</v>
      </c>
      <c r="M72" s="34">
        <v>97283</v>
      </c>
      <c r="N72" s="32">
        <v>199000</v>
      </c>
      <c r="O72" s="32">
        <v>15426</v>
      </c>
      <c r="P72" s="32" t="s">
        <v>19</v>
      </c>
      <c r="Q72" s="32">
        <v>1032429</v>
      </c>
      <c r="R72" s="33" t="s">
        <v>19</v>
      </c>
      <c r="S72" s="35">
        <f>(G72/F72)*100</f>
        <v>83.613189216444923</v>
      </c>
      <c r="T72" s="36">
        <f>(H72/G72)*100</f>
        <v>70.734993420794311</v>
      </c>
      <c r="U72" s="37"/>
      <c r="V72" s="27"/>
      <c r="W72" s="38" t="s">
        <v>1055</v>
      </c>
      <c r="X72" s="39" t="s">
        <v>981</v>
      </c>
      <c r="Y72" s="39" t="s">
        <v>982</v>
      </c>
      <c r="Z72" s="39" t="s">
        <v>983</v>
      </c>
      <c r="AA72" s="39" t="s">
        <v>984</v>
      </c>
      <c r="AB72" s="39" t="s">
        <v>985</v>
      </c>
      <c r="AC72" s="39" t="s">
        <v>986</v>
      </c>
      <c r="AD72" s="39" t="s">
        <v>987</v>
      </c>
      <c r="AE72" s="39" t="s">
        <v>988</v>
      </c>
      <c r="AF72" s="40" t="s">
        <v>989</v>
      </c>
    </row>
    <row r="73" spans="1:32" s="1" customFormat="1" x14ac:dyDescent="0.25">
      <c r="A73" s="26"/>
      <c r="B73" s="27" t="s">
        <v>17</v>
      </c>
      <c r="C73" s="28" t="s">
        <v>16</v>
      </c>
      <c r="D73" s="29">
        <v>2</v>
      </c>
      <c r="E73" s="30" t="s">
        <v>28</v>
      </c>
      <c r="F73" s="31">
        <v>1764607</v>
      </c>
      <c r="G73" s="32">
        <v>1459423</v>
      </c>
      <c r="H73" s="32">
        <v>1095034</v>
      </c>
      <c r="I73" s="33"/>
      <c r="J73" s="31">
        <v>1090943</v>
      </c>
      <c r="K73" s="32">
        <v>84189</v>
      </c>
      <c r="L73" s="32">
        <v>112562</v>
      </c>
      <c r="M73" s="34">
        <v>126079</v>
      </c>
      <c r="N73" s="32">
        <v>335422</v>
      </c>
      <c r="O73" s="32" t="s">
        <v>19</v>
      </c>
      <c r="P73" s="32">
        <v>111099</v>
      </c>
      <c r="Q73" s="32" t="s">
        <v>19</v>
      </c>
      <c r="R73" s="33">
        <v>321586</v>
      </c>
      <c r="S73" s="35">
        <f>(G73/F73)*100</f>
        <v>82.705270918680469</v>
      </c>
      <c r="T73" s="36">
        <f>(H73/G73)*100</f>
        <v>75.031981817471703</v>
      </c>
      <c r="U73" s="37"/>
      <c r="V73" s="27"/>
      <c r="W73" s="38"/>
      <c r="X73" s="39"/>
      <c r="Y73" s="39"/>
      <c r="Z73" s="39"/>
      <c r="AA73" s="39"/>
      <c r="AB73" s="39"/>
      <c r="AC73" s="39"/>
      <c r="AD73" s="39"/>
      <c r="AE73" s="39"/>
      <c r="AF73" s="40"/>
    </row>
    <row r="74" spans="1:32" s="1" customFormat="1" x14ac:dyDescent="0.25">
      <c r="A74" s="26"/>
      <c r="B74" s="27" t="s">
        <v>29</v>
      </c>
      <c r="C74" s="28"/>
      <c r="D74" s="29"/>
      <c r="E74" s="30"/>
      <c r="F74" s="31"/>
      <c r="G74" s="32"/>
      <c r="H74" s="32">
        <v>3905423</v>
      </c>
      <c r="I74" s="33">
        <v>3904955</v>
      </c>
      <c r="J74" s="31">
        <v>3894565</v>
      </c>
      <c r="K74" s="32">
        <v>160465</v>
      </c>
      <c r="L74" s="32">
        <v>1495762</v>
      </c>
      <c r="M74" s="34">
        <v>223362</v>
      </c>
      <c r="N74" s="32">
        <v>534422</v>
      </c>
      <c r="O74" s="32">
        <v>15430</v>
      </c>
      <c r="P74" s="32">
        <v>111105</v>
      </c>
      <c r="Q74" s="32">
        <v>1032431</v>
      </c>
      <c r="R74" s="33">
        <v>321588</v>
      </c>
      <c r="S74" s="26"/>
      <c r="T74" s="37"/>
      <c r="U74" s="36">
        <f t="shared" ref="U74" si="22">(I74/H74)*100</f>
        <v>99.988016662983753</v>
      </c>
      <c r="V74" s="71">
        <f>(I74/(F72+F73))*100</f>
        <v>59.925053687635412</v>
      </c>
      <c r="W74" s="38"/>
      <c r="X74" s="39"/>
      <c r="Y74" s="39"/>
      <c r="Z74" s="39"/>
      <c r="AA74" s="39"/>
      <c r="AB74" s="39"/>
      <c r="AC74" s="39"/>
      <c r="AD74" s="39"/>
      <c r="AE74" s="39"/>
      <c r="AF74" s="40"/>
    </row>
    <row r="75" spans="1:32" s="1" customFormat="1" x14ac:dyDescent="0.25">
      <c r="A75" s="41">
        <v>20090639</v>
      </c>
      <c r="B75" s="42" t="s">
        <v>14</v>
      </c>
      <c r="C75" s="43" t="s">
        <v>16</v>
      </c>
      <c r="D75" s="44">
        <v>1</v>
      </c>
      <c r="E75" s="45" t="s">
        <v>27</v>
      </c>
      <c r="F75" s="46">
        <v>3872115</v>
      </c>
      <c r="G75" s="47">
        <v>2959782</v>
      </c>
      <c r="H75" s="47">
        <v>2051542</v>
      </c>
      <c r="I75" s="48"/>
      <c r="J75" s="46">
        <v>2048780</v>
      </c>
      <c r="K75" s="47">
        <v>602665</v>
      </c>
      <c r="L75" s="47">
        <v>480232</v>
      </c>
      <c r="M75" s="49">
        <v>415201</v>
      </c>
      <c r="N75" s="47">
        <v>199333</v>
      </c>
      <c r="O75" s="47">
        <v>351278</v>
      </c>
      <c r="P75" s="47" t="s">
        <v>19</v>
      </c>
      <c r="Q75" s="47" t="s">
        <v>20</v>
      </c>
      <c r="R75" s="48" t="s">
        <v>19</v>
      </c>
      <c r="S75" s="50">
        <f>(G75/F75)*100</f>
        <v>76.438380574957094</v>
      </c>
      <c r="T75" s="51">
        <f>(H75/G75)*100</f>
        <v>69.313956230560223</v>
      </c>
      <c r="U75" s="52"/>
      <c r="V75" s="42"/>
      <c r="W75" s="53" t="s">
        <v>1056</v>
      </c>
      <c r="X75" s="54" t="s">
        <v>990</v>
      </c>
      <c r="Y75" s="54" t="s">
        <v>991</v>
      </c>
      <c r="Z75" s="54" t="s">
        <v>992</v>
      </c>
      <c r="AA75" s="54" t="s">
        <v>993</v>
      </c>
      <c r="AB75" s="54" t="s">
        <v>994</v>
      </c>
      <c r="AC75" s="54" t="s">
        <v>995</v>
      </c>
      <c r="AD75" s="54" t="s">
        <v>251</v>
      </c>
      <c r="AE75" s="54" t="s">
        <v>996</v>
      </c>
      <c r="AF75" s="55" t="s">
        <v>997</v>
      </c>
    </row>
    <row r="76" spans="1:32" s="1" customFormat="1" x14ac:dyDescent="0.25">
      <c r="A76" s="41"/>
      <c r="B76" s="42" t="s">
        <v>17</v>
      </c>
      <c r="C76" s="43" t="s">
        <v>16</v>
      </c>
      <c r="D76" s="44">
        <v>1</v>
      </c>
      <c r="E76" s="45" t="s">
        <v>28</v>
      </c>
      <c r="F76" s="46">
        <v>3551751</v>
      </c>
      <c r="G76" s="47">
        <v>2744704</v>
      </c>
      <c r="H76" s="47">
        <v>1826193</v>
      </c>
      <c r="I76" s="48"/>
      <c r="J76" s="46">
        <v>1824441</v>
      </c>
      <c r="K76" s="47">
        <v>670187</v>
      </c>
      <c r="L76" s="47" t="s">
        <v>20</v>
      </c>
      <c r="M76" s="49">
        <v>540481</v>
      </c>
      <c r="N76" s="47">
        <v>56255</v>
      </c>
      <c r="O76" s="47" t="s">
        <v>19</v>
      </c>
      <c r="P76" s="47">
        <v>506625</v>
      </c>
      <c r="Q76" s="47" t="s">
        <v>19</v>
      </c>
      <c r="R76" s="48">
        <v>49690</v>
      </c>
      <c r="S76" s="50">
        <f>(G76/F76)*100</f>
        <v>77.277489328503037</v>
      </c>
      <c r="T76" s="51">
        <f>(H76/G76)*100</f>
        <v>66.535152788788892</v>
      </c>
      <c r="U76" s="52"/>
      <c r="V76" s="42"/>
      <c r="W76" s="53"/>
      <c r="X76" s="54"/>
      <c r="Y76" s="54"/>
      <c r="Z76" s="54"/>
      <c r="AA76" s="54"/>
      <c r="AB76" s="54"/>
      <c r="AC76" s="54"/>
      <c r="AD76" s="54"/>
      <c r="AE76" s="54"/>
      <c r="AF76" s="55"/>
    </row>
    <row r="77" spans="1:32" s="1" customFormat="1" x14ac:dyDescent="0.25">
      <c r="A77" s="41"/>
      <c r="B77" s="42" t="s">
        <v>29</v>
      </c>
      <c r="C77" s="43"/>
      <c r="D77" s="44"/>
      <c r="E77" s="45"/>
      <c r="F77" s="46"/>
      <c r="G77" s="47"/>
      <c r="H77" s="47">
        <v>3877735</v>
      </c>
      <c r="I77" s="48">
        <v>3874870</v>
      </c>
      <c r="J77" s="46">
        <v>3873220</v>
      </c>
      <c r="K77" s="47">
        <v>1272851</v>
      </c>
      <c r="L77" s="47">
        <v>481434</v>
      </c>
      <c r="M77" s="49">
        <v>955682</v>
      </c>
      <c r="N77" s="47">
        <v>255588</v>
      </c>
      <c r="O77" s="47">
        <v>351279</v>
      </c>
      <c r="P77" s="47">
        <v>506631</v>
      </c>
      <c r="Q77" s="47"/>
      <c r="R77" s="48">
        <v>49691</v>
      </c>
      <c r="S77" s="41"/>
      <c r="T77" s="52"/>
      <c r="U77" s="51">
        <f t="shared" ref="U77" si="23">(I77/H77)*100</f>
        <v>99.926116663464626</v>
      </c>
      <c r="V77" s="73">
        <f>(I77/(F75+F76))*100</f>
        <v>52.194772912118836</v>
      </c>
      <c r="W77" s="53"/>
      <c r="X77" s="54"/>
      <c r="Y77" s="54"/>
      <c r="Z77" s="54"/>
      <c r="AA77" s="54"/>
      <c r="AB77" s="54"/>
      <c r="AC77" s="54"/>
      <c r="AD77" s="54"/>
      <c r="AE77" s="54"/>
      <c r="AF77" s="55"/>
    </row>
    <row r="78" spans="1:32" s="1" customFormat="1" x14ac:dyDescent="0.25">
      <c r="A78" s="26">
        <v>20090816</v>
      </c>
      <c r="B78" s="27" t="s">
        <v>14</v>
      </c>
      <c r="C78" s="28" t="s">
        <v>16</v>
      </c>
      <c r="D78" s="29">
        <v>6</v>
      </c>
      <c r="E78" s="30" t="s">
        <v>25</v>
      </c>
      <c r="F78" s="28">
        <v>1804569</v>
      </c>
      <c r="G78" s="29">
        <v>1660279</v>
      </c>
      <c r="H78" s="32">
        <v>1227941</v>
      </c>
      <c r="I78" s="33"/>
      <c r="J78" s="31">
        <v>1182925</v>
      </c>
      <c r="K78" s="32">
        <v>148547</v>
      </c>
      <c r="L78" s="32">
        <v>527683</v>
      </c>
      <c r="M78" s="34">
        <v>42726</v>
      </c>
      <c r="N78" s="32">
        <v>11284</v>
      </c>
      <c r="O78" s="32">
        <v>17105</v>
      </c>
      <c r="P78" s="32" t="s">
        <v>19</v>
      </c>
      <c r="Q78" s="32">
        <v>435579</v>
      </c>
      <c r="R78" s="33" t="s">
        <v>19</v>
      </c>
      <c r="S78" s="35">
        <f>(G78/F78)*100</f>
        <v>92.004184932801124</v>
      </c>
      <c r="T78" s="36">
        <f>(H78/G78)*100</f>
        <v>73.95991878473437</v>
      </c>
      <c r="U78" s="37"/>
      <c r="V78" s="27"/>
      <c r="W78" s="38" t="s">
        <v>1057</v>
      </c>
      <c r="X78" s="39" t="s">
        <v>998</v>
      </c>
      <c r="Y78" s="39" t="s">
        <v>999</v>
      </c>
      <c r="Z78" s="39" t="s">
        <v>1000</v>
      </c>
      <c r="AA78" s="39" t="s">
        <v>1001</v>
      </c>
      <c r="AB78" s="39" t="s">
        <v>1002</v>
      </c>
      <c r="AC78" s="39" t="s">
        <v>1003</v>
      </c>
      <c r="AD78" s="39" t="s">
        <v>1004</v>
      </c>
      <c r="AE78" s="39" t="s">
        <v>1005</v>
      </c>
      <c r="AF78" s="40" t="s">
        <v>1006</v>
      </c>
    </row>
    <row r="79" spans="1:32" s="1" customFormat="1" x14ac:dyDescent="0.25">
      <c r="A79" s="26"/>
      <c r="B79" s="27" t="s">
        <v>17</v>
      </c>
      <c r="C79" s="28" t="s">
        <v>16</v>
      </c>
      <c r="D79" s="29">
        <v>6</v>
      </c>
      <c r="E79" s="30" t="s">
        <v>26</v>
      </c>
      <c r="F79" s="31">
        <v>3292862</v>
      </c>
      <c r="G79" s="32">
        <v>3044054</v>
      </c>
      <c r="H79" s="32">
        <v>2309412</v>
      </c>
      <c r="I79" s="33"/>
      <c r="J79" s="31">
        <v>2265159</v>
      </c>
      <c r="K79" s="32">
        <v>124173</v>
      </c>
      <c r="L79" s="32">
        <v>200333</v>
      </c>
      <c r="M79" s="34">
        <v>529426</v>
      </c>
      <c r="N79" s="34">
        <v>592527</v>
      </c>
      <c r="O79" s="32" t="s">
        <v>19</v>
      </c>
      <c r="P79" s="32">
        <v>474105</v>
      </c>
      <c r="Q79" s="32" t="s">
        <v>19</v>
      </c>
      <c r="R79" s="72">
        <v>344588</v>
      </c>
      <c r="S79" s="35">
        <f>(G79/F79)*100</f>
        <v>92.444019822270107</v>
      </c>
      <c r="T79" s="36">
        <f>(H79/G79)*100</f>
        <v>75.8663282583029</v>
      </c>
      <c r="U79" s="37"/>
      <c r="V79" s="27"/>
      <c r="W79" s="38"/>
      <c r="X79" s="39"/>
      <c r="Y79" s="39"/>
      <c r="Z79" s="39"/>
      <c r="AA79" s="39"/>
      <c r="AB79" s="39"/>
      <c r="AC79" s="39"/>
      <c r="AD79" s="39"/>
      <c r="AE79" s="39"/>
      <c r="AF79" s="40"/>
    </row>
    <row r="80" spans="1:32" s="1" customFormat="1" x14ac:dyDescent="0.25">
      <c r="A80" s="26"/>
      <c r="B80" s="27" t="s">
        <v>29</v>
      </c>
      <c r="C80" s="28"/>
      <c r="D80" s="29"/>
      <c r="E80" s="30"/>
      <c r="F80" s="31"/>
      <c r="G80" s="32"/>
      <c r="H80" s="32">
        <v>3537353</v>
      </c>
      <c r="I80" s="33">
        <v>3534826</v>
      </c>
      <c r="J80" s="31">
        <v>3448084</v>
      </c>
      <c r="K80" s="32">
        <v>272720</v>
      </c>
      <c r="L80" s="32">
        <v>728016</v>
      </c>
      <c r="M80" s="34">
        <v>572152</v>
      </c>
      <c r="N80" s="32">
        <v>603811</v>
      </c>
      <c r="O80" s="32">
        <v>17112</v>
      </c>
      <c r="P80" s="32">
        <v>474106</v>
      </c>
      <c r="Q80" s="32">
        <v>435579</v>
      </c>
      <c r="R80" s="72">
        <v>344588</v>
      </c>
      <c r="S80" s="26"/>
      <c r="T80" s="37"/>
      <c r="U80" s="36">
        <f t="shared" ref="U80" si="24">(I80/H80)*100</f>
        <v>99.928562402451774</v>
      </c>
      <c r="V80" s="71">
        <f>(I80/(F78+F79))*100</f>
        <v>69.345244692865876</v>
      </c>
      <c r="W80" s="38"/>
      <c r="X80" s="39"/>
      <c r="Y80" s="39"/>
      <c r="Z80" s="39"/>
      <c r="AA80" s="39"/>
      <c r="AB80" s="39"/>
      <c r="AC80" s="39"/>
      <c r="AD80" s="39"/>
      <c r="AE80" s="39"/>
      <c r="AF80" s="40"/>
    </row>
    <row r="81" spans="1:32" s="1" customFormat="1" x14ac:dyDescent="0.25">
      <c r="A81" s="41">
        <v>20091940</v>
      </c>
      <c r="B81" s="42" t="s">
        <v>14</v>
      </c>
      <c r="C81" s="43" t="s">
        <v>16</v>
      </c>
      <c r="D81" s="44">
        <v>2</v>
      </c>
      <c r="E81" s="45" t="s">
        <v>25</v>
      </c>
      <c r="F81" s="46">
        <v>2011666</v>
      </c>
      <c r="G81" s="47">
        <v>1681276</v>
      </c>
      <c r="H81" s="47">
        <v>1356948</v>
      </c>
      <c r="I81" s="48"/>
      <c r="J81" s="46">
        <v>1346645</v>
      </c>
      <c r="K81" s="47">
        <v>714667</v>
      </c>
      <c r="L81" s="47">
        <v>86572</v>
      </c>
      <c r="M81" s="49">
        <v>388250</v>
      </c>
      <c r="N81" s="47">
        <v>6961</v>
      </c>
      <c r="O81" s="47">
        <v>45733</v>
      </c>
      <c r="P81" s="47" t="s">
        <v>19</v>
      </c>
      <c r="Q81" s="47">
        <v>104459</v>
      </c>
      <c r="R81" s="74" t="s">
        <v>19</v>
      </c>
      <c r="S81" s="50">
        <f>(G81/F81)*100</f>
        <v>83.576299445335351</v>
      </c>
      <c r="T81" s="51">
        <f>(H81/G81)*100</f>
        <v>80.709413564459382</v>
      </c>
      <c r="U81" s="52"/>
      <c r="V81" s="42"/>
      <c r="W81" s="53" t="s">
        <v>1060</v>
      </c>
      <c r="X81" s="54" t="s">
        <v>1025</v>
      </c>
      <c r="Y81" s="54" t="s">
        <v>1026</v>
      </c>
      <c r="Z81" s="54" t="s">
        <v>1027</v>
      </c>
      <c r="AA81" s="54" t="s">
        <v>1028</v>
      </c>
      <c r="AB81" s="54" t="s">
        <v>1029</v>
      </c>
      <c r="AC81" s="54" t="s">
        <v>1030</v>
      </c>
      <c r="AD81" s="54" t="s">
        <v>1031</v>
      </c>
      <c r="AE81" s="54" t="s">
        <v>1032</v>
      </c>
      <c r="AF81" s="55" t="s">
        <v>1033</v>
      </c>
    </row>
    <row r="82" spans="1:32" s="1" customFormat="1" x14ac:dyDescent="0.25">
      <c r="A82" s="41"/>
      <c r="B82" s="42" t="s">
        <v>17</v>
      </c>
      <c r="C82" s="43" t="s">
        <v>16</v>
      </c>
      <c r="D82" s="44">
        <v>2</v>
      </c>
      <c r="E82" s="45" t="s">
        <v>26</v>
      </c>
      <c r="F82" s="46">
        <v>2071821</v>
      </c>
      <c r="G82" s="47">
        <v>1765677</v>
      </c>
      <c r="H82" s="47">
        <v>1291231</v>
      </c>
      <c r="I82" s="48"/>
      <c r="J82" s="46">
        <v>1287689</v>
      </c>
      <c r="K82" s="47">
        <v>75663</v>
      </c>
      <c r="L82" s="47">
        <v>96133</v>
      </c>
      <c r="M82" s="49">
        <v>246606</v>
      </c>
      <c r="N82" s="47">
        <v>644737</v>
      </c>
      <c r="O82" s="47" t="s">
        <v>19</v>
      </c>
      <c r="P82" s="47">
        <v>222695</v>
      </c>
      <c r="Q82" s="47" t="s">
        <v>19</v>
      </c>
      <c r="R82" s="48">
        <v>1850</v>
      </c>
      <c r="S82" s="50">
        <f>(G82/F82)*100</f>
        <v>85.22343387773364</v>
      </c>
      <c r="T82" s="51">
        <f>(H82/G82)*100</f>
        <v>73.129513495390157</v>
      </c>
      <c r="U82" s="52"/>
      <c r="V82" s="42"/>
      <c r="W82" s="53"/>
      <c r="X82" s="54"/>
      <c r="Y82" s="54"/>
      <c r="Z82" s="54"/>
      <c r="AA82" s="54"/>
      <c r="AB82" s="54"/>
      <c r="AC82" s="54"/>
      <c r="AD82" s="54"/>
      <c r="AE82" s="54"/>
      <c r="AF82" s="55"/>
    </row>
    <row r="83" spans="1:32" s="1" customFormat="1" x14ac:dyDescent="0.25">
      <c r="A83" s="41"/>
      <c r="B83" s="42" t="s">
        <v>29</v>
      </c>
      <c r="C83" s="43"/>
      <c r="D83" s="44"/>
      <c r="E83" s="45"/>
      <c r="F83" s="46"/>
      <c r="G83" s="47"/>
      <c r="H83" s="47">
        <v>2648179</v>
      </c>
      <c r="I83" s="48">
        <v>2641288</v>
      </c>
      <c r="J83" s="46">
        <v>2634334</v>
      </c>
      <c r="K83" s="47">
        <v>790330</v>
      </c>
      <c r="L83" s="47">
        <v>182705</v>
      </c>
      <c r="M83" s="49">
        <v>634856</v>
      </c>
      <c r="N83" s="47">
        <v>651698</v>
      </c>
      <c r="O83" s="47">
        <v>45737</v>
      </c>
      <c r="P83" s="47">
        <v>222698</v>
      </c>
      <c r="Q83" s="47">
        <v>104460</v>
      </c>
      <c r="R83" s="48">
        <v>1850</v>
      </c>
      <c r="S83" s="41"/>
      <c r="T83" s="52"/>
      <c r="U83" s="51">
        <f t="shared" ref="U83" si="25">(I83/H83)*100</f>
        <v>99.739783451194199</v>
      </c>
      <c r="V83" s="73">
        <f>(I83/(F81+F82))*100</f>
        <v>64.682169919972807</v>
      </c>
      <c r="W83" s="53"/>
      <c r="X83" s="54"/>
      <c r="Y83" s="54"/>
      <c r="Z83" s="54"/>
      <c r="AA83" s="54"/>
      <c r="AB83" s="54"/>
      <c r="AC83" s="54"/>
      <c r="AD83" s="54"/>
      <c r="AE83" s="54"/>
      <c r="AF83" s="55"/>
    </row>
    <row r="84" spans="1:32" s="1" customFormat="1" x14ac:dyDescent="0.25">
      <c r="A84" s="26">
        <v>20091349</v>
      </c>
      <c r="B84" s="27" t="s">
        <v>14</v>
      </c>
      <c r="C84" s="28" t="s">
        <v>16</v>
      </c>
      <c r="D84" s="29">
        <v>5</v>
      </c>
      <c r="E84" s="30" t="s">
        <v>25</v>
      </c>
      <c r="F84" s="31">
        <v>3288870</v>
      </c>
      <c r="G84" s="32">
        <v>2945982</v>
      </c>
      <c r="H84" s="32">
        <v>2176583</v>
      </c>
      <c r="I84" s="33"/>
      <c r="J84" s="31">
        <v>2171888</v>
      </c>
      <c r="K84" s="32">
        <v>943437</v>
      </c>
      <c r="L84" s="32">
        <v>34230</v>
      </c>
      <c r="M84" s="34">
        <v>634842</v>
      </c>
      <c r="N84" s="32">
        <v>32140</v>
      </c>
      <c r="O84" s="32">
        <v>503654</v>
      </c>
      <c r="P84" s="32" t="s">
        <v>19</v>
      </c>
      <c r="Q84" s="32">
        <v>23585</v>
      </c>
      <c r="R84" s="33" t="s">
        <v>19</v>
      </c>
      <c r="S84" s="35">
        <f>(G84/F84)*100</f>
        <v>89.5742914739713</v>
      </c>
      <c r="T84" s="36">
        <f>(H84/G84)*100</f>
        <v>73.88310587097952</v>
      </c>
      <c r="U84" s="37"/>
      <c r="V84" s="27"/>
      <c r="W84" s="38" t="s">
        <v>1058</v>
      </c>
      <c r="X84" s="39" t="s">
        <v>1007</v>
      </c>
      <c r="Y84" s="39" t="s">
        <v>1008</v>
      </c>
      <c r="Z84" s="39" t="s">
        <v>1009</v>
      </c>
      <c r="AA84" s="39" t="s">
        <v>1010</v>
      </c>
      <c r="AB84" s="39" t="s">
        <v>1011</v>
      </c>
      <c r="AC84" s="39" t="s">
        <v>1012</v>
      </c>
      <c r="AD84" s="39" t="s">
        <v>1013</v>
      </c>
      <c r="AE84" s="39" t="s">
        <v>1014</v>
      </c>
      <c r="AF84" s="40" t="s">
        <v>1015</v>
      </c>
    </row>
    <row r="85" spans="1:32" s="1" customFormat="1" x14ac:dyDescent="0.25">
      <c r="A85" s="26"/>
      <c r="B85" s="27" t="s">
        <v>17</v>
      </c>
      <c r="C85" s="28" t="s">
        <v>16</v>
      </c>
      <c r="D85" s="29">
        <v>5</v>
      </c>
      <c r="E85" s="30" t="s">
        <v>26</v>
      </c>
      <c r="F85" s="31">
        <f>4000000+84190</f>
        <v>4084190</v>
      </c>
      <c r="G85" s="32">
        <f>3634122+76094</f>
        <v>3710216</v>
      </c>
      <c r="H85" s="32">
        <f>2611597+54815</f>
        <v>2666412</v>
      </c>
      <c r="I85" s="33"/>
      <c r="J85" s="31">
        <v>2664078</v>
      </c>
      <c r="K85" s="32">
        <v>550520</v>
      </c>
      <c r="L85" s="32">
        <v>449974</v>
      </c>
      <c r="M85" s="34">
        <v>568222</v>
      </c>
      <c r="N85" s="32">
        <v>302760</v>
      </c>
      <c r="O85" s="32" t="s">
        <v>19</v>
      </c>
      <c r="P85" s="32">
        <v>546999</v>
      </c>
      <c r="Q85" s="32" t="s">
        <v>19</v>
      </c>
      <c r="R85" s="33">
        <v>245600</v>
      </c>
      <c r="S85" s="35">
        <f>(G85/F85)*100</f>
        <v>90.843374083967689</v>
      </c>
      <c r="T85" s="36">
        <f>(H85/G85)*100</f>
        <v>71.866759239893312</v>
      </c>
      <c r="U85" s="37"/>
      <c r="V85" s="27"/>
      <c r="W85" s="38"/>
      <c r="X85" s="39"/>
      <c r="Y85" s="39"/>
      <c r="Z85" s="39"/>
      <c r="AA85" s="39"/>
      <c r="AB85" s="39"/>
      <c r="AC85" s="39"/>
      <c r="AD85" s="39"/>
      <c r="AE85" s="39"/>
      <c r="AF85" s="40"/>
    </row>
    <row r="86" spans="1:32" s="1" customFormat="1" x14ac:dyDescent="0.25">
      <c r="A86" s="26"/>
      <c r="B86" s="27" t="s">
        <v>29</v>
      </c>
      <c r="C86" s="28"/>
      <c r="D86" s="29"/>
      <c r="E86" s="30"/>
      <c r="F86" s="31"/>
      <c r="G86" s="32"/>
      <c r="H86" s="32">
        <v>4842995</v>
      </c>
      <c r="I86" s="33">
        <v>4842081</v>
      </c>
      <c r="J86" s="31">
        <v>4835965</v>
      </c>
      <c r="K86" s="32">
        <v>1493956</v>
      </c>
      <c r="L86" s="32">
        <v>484204</v>
      </c>
      <c r="M86" s="34">
        <v>1203064</v>
      </c>
      <c r="N86" s="32">
        <v>334900</v>
      </c>
      <c r="O86" s="32">
        <v>503657</v>
      </c>
      <c r="P86" s="32">
        <v>546999</v>
      </c>
      <c r="Q86" s="32">
        <v>23585</v>
      </c>
      <c r="R86" s="33">
        <v>245600</v>
      </c>
      <c r="S86" s="26"/>
      <c r="T86" s="37"/>
      <c r="U86" s="36">
        <f t="shared" ref="U86" si="26">(I86/H86)*100</f>
        <v>99.98112738088723</v>
      </c>
      <c r="V86" s="71">
        <f>(I86/(F84+F85))*100</f>
        <v>65.672610829153697</v>
      </c>
      <c r="W86" s="38"/>
      <c r="X86" s="39"/>
      <c r="Y86" s="39"/>
      <c r="Z86" s="39"/>
      <c r="AA86" s="39"/>
      <c r="AB86" s="39"/>
      <c r="AC86" s="39"/>
      <c r="AD86" s="39"/>
      <c r="AE86" s="39"/>
      <c r="AF86" s="40"/>
    </row>
    <row r="87" spans="1:32" s="1" customFormat="1" x14ac:dyDescent="0.25">
      <c r="A87" s="41">
        <v>20091939</v>
      </c>
      <c r="B87" s="42" t="s">
        <v>14</v>
      </c>
      <c r="C87" s="43" t="s">
        <v>16</v>
      </c>
      <c r="D87" s="44">
        <v>3</v>
      </c>
      <c r="E87" s="45" t="s">
        <v>25</v>
      </c>
      <c r="F87" s="46">
        <v>3233175</v>
      </c>
      <c r="G87" s="47">
        <v>2850195</v>
      </c>
      <c r="H87" s="47">
        <v>1993050</v>
      </c>
      <c r="I87" s="48"/>
      <c r="J87" s="46">
        <v>1985597</v>
      </c>
      <c r="K87" s="47">
        <v>495509</v>
      </c>
      <c r="L87" s="47">
        <v>266584</v>
      </c>
      <c r="M87" s="49">
        <v>563677</v>
      </c>
      <c r="N87" s="47">
        <v>260715</v>
      </c>
      <c r="O87" s="47">
        <v>202870</v>
      </c>
      <c r="P87" s="47" t="s">
        <v>19</v>
      </c>
      <c r="Q87" s="47">
        <v>196238</v>
      </c>
      <c r="R87" s="48" t="s">
        <v>19</v>
      </c>
      <c r="S87" s="50">
        <f>(G87/F87)*100</f>
        <v>88.154677677515139</v>
      </c>
      <c r="T87" s="51">
        <f>(H87/G87)*100</f>
        <v>69.926794482482777</v>
      </c>
      <c r="U87" s="52"/>
      <c r="V87" s="42"/>
      <c r="W87" s="53" t="s">
        <v>1059</v>
      </c>
      <c r="X87" s="54" t="s">
        <v>1016</v>
      </c>
      <c r="Y87" s="54" t="s">
        <v>1017</v>
      </c>
      <c r="Z87" s="54" t="s">
        <v>1018</v>
      </c>
      <c r="AA87" s="54" t="s">
        <v>1019</v>
      </c>
      <c r="AB87" s="54" t="s">
        <v>1020</v>
      </c>
      <c r="AC87" s="54" t="s">
        <v>1021</v>
      </c>
      <c r="AD87" s="54" t="s">
        <v>1022</v>
      </c>
      <c r="AE87" s="54" t="s">
        <v>1023</v>
      </c>
      <c r="AF87" s="55" t="s">
        <v>1024</v>
      </c>
    </row>
    <row r="88" spans="1:32" s="1" customFormat="1" x14ac:dyDescent="0.25">
      <c r="A88" s="41"/>
      <c r="B88" s="42" t="s">
        <v>17</v>
      </c>
      <c r="C88" s="43" t="s">
        <v>16</v>
      </c>
      <c r="D88" s="44">
        <v>3</v>
      </c>
      <c r="E88" s="45" t="s">
        <v>26</v>
      </c>
      <c r="F88" s="46">
        <f>4000000+1621539</f>
        <v>5621539</v>
      </c>
      <c r="G88" s="47">
        <f>3547924+1445476</f>
        <v>4993400</v>
      </c>
      <c r="H88" s="47">
        <f>2298126+939848</f>
        <v>3237974</v>
      </c>
      <c r="I88" s="48"/>
      <c r="J88" s="46">
        <v>3229601</v>
      </c>
      <c r="K88" s="47">
        <v>515271</v>
      </c>
      <c r="L88" s="47">
        <v>677716</v>
      </c>
      <c r="M88" s="49">
        <v>537439</v>
      </c>
      <c r="N88" s="47">
        <v>526783</v>
      </c>
      <c r="O88" s="47" t="s">
        <v>19</v>
      </c>
      <c r="P88" s="47">
        <v>578378</v>
      </c>
      <c r="Q88" s="47" t="s">
        <v>19</v>
      </c>
      <c r="R88" s="48">
        <v>394014</v>
      </c>
      <c r="S88" s="50">
        <f>(G88/F88)*100</f>
        <v>88.826209335201625</v>
      </c>
      <c r="T88" s="51">
        <f>(H88/G88)*100</f>
        <v>64.845075499659558</v>
      </c>
      <c r="U88" s="52"/>
      <c r="V88" s="42"/>
      <c r="W88" s="53"/>
      <c r="X88" s="54"/>
      <c r="Y88" s="54"/>
      <c r="Z88" s="54"/>
      <c r="AA88" s="54"/>
      <c r="AB88" s="54"/>
      <c r="AC88" s="54"/>
      <c r="AD88" s="54"/>
      <c r="AE88" s="54"/>
      <c r="AF88" s="55"/>
    </row>
    <row r="89" spans="1:32" s="1" customFormat="1" x14ac:dyDescent="0.25">
      <c r="A89" s="56"/>
      <c r="B89" s="57" t="s">
        <v>29</v>
      </c>
      <c r="C89" s="58"/>
      <c r="D89" s="59"/>
      <c r="E89" s="60"/>
      <c r="F89" s="61"/>
      <c r="G89" s="62"/>
      <c r="H89" s="62">
        <v>5231024</v>
      </c>
      <c r="I89" s="63">
        <v>5228354</v>
      </c>
      <c r="J89" s="61">
        <v>5215198</v>
      </c>
      <c r="K89" s="62">
        <v>1010780</v>
      </c>
      <c r="L89" s="62">
        <v>944300</v>
      </c>
      <c r="M89" s="64">
        <v>1101116</v>
      </c>
      <c r="N89" s="62">
        <v>787498</v>
      </c>
      <c r="O89" s="62">
        <v>202870</v>
      </c>
      <c r="P89" s="62">
        <v>578382</v>
      </c>
      <c r="Q89" s="62">
        <v>196238</v>
      </c>
      <c r="R89" s="63">
        <v>394014</v>
      </c>
      <c r="S89" s="56"/>
      <c r="T89" s="65"/>
      <c r="U89" s="66">
        <f t="shared" ref="U89" si="27">(I89/H89)*100</f>
        <v>99.948958368380644</v>
      </c>
      <c r="V89" s="67">
        <f>(I89/(F87+F88))*100</f>
        <v>59.045995161447337</v>
      </c>
      <c r="W89" s="68"/>
      <c r="X89" s="69"/>
      <c r="Y89" s="69"/>
      <c r="Z89" s="69"/>
      <c r="AA89" s="69"/>
      <c r="AB89" s="69"/>
      <c r="AC89" s="69"/>
      <c r="AD89" s="69"/>
      <c r="AE89" s="69"/>
      <c r="AF89" s="70"/>
    </row>
    <row r="90" spans="1:32" s="1" customFormat="1" x14ac:dyDescent="0.25">
      <c r="A90" s="22"/>
      <c r="B90" s="22"/>
      <c r="C90" s="23"/>
      <c r="D90" s="23"/>
      <c r="E90" s="23"/>
      <c r="F90" s="24"/>
      <c r="G90" s="24"/>
      <c r="H90" s="24"/>
      <c r="I90" s="24"/>
      <c r="J90" s="24"/>
      <c r="K90" s="24"/>
      <c r="L90" s="24"/>
      <c r="M90" s="25"/>
      <c r="N90" s="24"/>
      <c r="O90" s="24"/>
      <c r="P90" s="24"/>
      <c r="Q90" s="24"/>
      <c r="R90" s="24"/>
      <c r="S90" s="22"/>
      <c r="T90" s="22"/>
      <c r="U90" s="22"/>
      <c r="V90" s="22"/>
    </row>
    <row r="91" spans="1:32" s="1" customFormat="1" x14ac:dyDescent="0.25">
      <c r="A91" s="22"/>
      <c r="B91" s="22"/>
      <c r="C91" s="23"/>
      <c r="D91" s="23"/>
      <c r="E91" s="23"/>
      <c r="F91" s="24"/>
      <c r="G91" s="24"/>
      <c r="H91" s="24"/>
      <c r="I91" s="24"/>
      <c r="J91" s="24"/>
      <c r="K91" s="24"/>
      <c r="L91" s="24"/>
      <c r="M91" s="25"/>
      <c r="N91" s="24"/>
      <c r="O91" s="24"/>
      <c r="P91" s="24"/>
      <c r="Q91" s="24"/>
      <c r="R91" s="24"/>
      <c r="S91" s="22"/>
      <c r="T91" s="22"/>
      <c r="U91" s="22"/>
      <c r="V91" s="22"/>
    </row>
    <row r="92" spans="1:32" s="1" customFormat="1" x14ac:dyDescent="0.25">
      <c r="A92" s="22"/>
      <c r="B92" s="22"/>
      <c r="C92" s="23"/>
      <c r="D92" s="23"/>
      <c r="E92" s="23"/>
      <c r="F92" s="24"/>
      <c r="G92" s="24"/>
      <c r="H92" s="24"/>
      <c r="I92" s="24"/>
      <c r="J92" s="24"/>
      <c r="K92" s="24"/>
      <c r="L92" s="24"/>
      <c r="M92" s="25"/>
      <c r="N92" s="24"/>
      <c r="O92" s="24"/>
      <c r="P92" s="24"/>
      <c r="Q92" s="24"/>
      <c r="R92" s="24"/>
      <c r="S92" s="22"/>
      <c r="T92" s="22"/>
      <c r="U92" s="22"/>
      <c r="V92" s="22"/>
    </row>
    <row r="93" spans="1:32" s="1" customFormat="1" x14ac:dyDescent="0.25">
      <c r="A93" s="22"/>
      <c r="B93" s="22"/>
      <c r="C93" s="23"/>
      <c r="D93" s="23"/>
      <c r="E93" s="23"/>
      <c r="F93" s="24"/>
      <c r="G93" s="24"/>
      <c r="H93" s="24"/>
      <c r="I93" s="24"/>
      <c r="J93" s="24"/>
      <c r="K93" s="24"/>
      <c r="L93" s="24"/>
      <c r="M93" s="25"/>
      <c r="N93" s="24"/>
      <c r="O93" s="24"/>
      <c r="P93" s="24"/>
      <c r="Q93" s="24"/>
      <c r="R93" s="24"/>
      <c r="S93" s="22"/>
      <c r="T93" s="22"/>
      <c r="U93" s="22"/>
      <c r="V93" s="22"/>
    </row>
    <row r="94" spans="1:32" s="1" customFormat="1" x14ac:dyDescent="0.25">
      <c r="A94" s="22"/>
      <c r="B94" s="22"/>
      <c r="C94" s="23"/>
      <c r="D94" s="23"/>
      <c r="E94" s="23"/>
      <c r="F94" s="24"/>
      <c r="G94" s="24"/>
      <c r="H94" s="24"/>
      <c r="I94" s="24"/>
      <c r="J94" s="24"/>
      <c r="K94" s="24"/>
      <c r="L94" s="24"/>
      <c r="M94" s="25"/>
      <c r="N94" s="24"/>
      <c r="O94" s="24"/>
      <c r="P94" s="24"/>
      <c r="Q94" s="24"/>
      <c r="R94" s="24"/>
      <c r="S94" s="22"/>
      <c r="T94" s="22"/>
      <c r="U94" s="22"/>
      <c r="V94" s="22"/>
    </row>
    <row r="95" spans="1:32" s="1" customFormat="1" x14ac:dyDescent="0.25">
      <c r="A95" s="22"/>
      <c r="B95" s="22"/>
      <c r="C95" s="23"/>
      <c r="D95" s="23"/>
      <c r="E95" s="23"/>
      <c r="F95" s="24"/>
      <c r="G95" s="24"/>
      <c r="H95" s="24"/>
      <c r="I95" s="24"/>
      <c r="J95" s="24"/>
      <c r="K95" s="24"/>
      <c r="L95" s="24"/>
      <c r="M95" s="25"/>
      <c r="N95" s="24"/>
      <c r="O95" s="24"/>
      <c r="P95" s="24"/>
      <c r="Q95" s="24"/>
      <c r="R95" s="24"/>
      <c r="S95" s="22"/>
      <c r="T95" s="22"/>
      <c r="U95" s="22"/>
      <c r="V95" s="22"/>
    </row>
    <row r="96" spans="1:32" s="1" customFormat="1" x14ac:dyDescent="0.25">
      <c r="A96" s="22"/>
      <c r="B96" s="22"/>
      <c r="C96" s="23"/>
      <c r="D96" s="23"/>
      <c r="E96" s="23"/>
      <c r="F96" s="23"/>
      <c r="G96" s="23"/>
      <c r="H96" s="24"/>
      <c r="I96" s="24"/>
      <c r="J96" s="24"/>
      <c r="K96" s="24"/>
      <c r="L96" s="24"/>
      <c r="M96" s="25"/>
      <c r="N96" s="24"/>
      <c r="O96" s="24"/>
      <c r="P96" s="24"/>
      <c r="Q96" s="24"/>
      <c r="R96" s="24"/>
      <c r="S96" s="22"/>
      <c r="T96" s="22"/>
      <c r="U96" s="22"/>
      <c r="V96" s="22"/>
    </row>
    <row r="97" spans="1:22" s="1" customFormat="1" x14ac:dyDescent="0.25">
      <c r="A97" s="22"/>
      <c r="B97" s="22"/>
      <c r="C97" s="23"/>
      <c r="D97" s="23"/>
      <c r="E97" s="23"/>
      <c r="F97" s="24"/>
      <c r="G97" s="24"/>
      <c r="H97" s="24"/>
      <c r="I97" s="24"/>
      <c r="J97" s="24"/>
      <c r="K97" s="24"/>
      <c r="L97" s="24"/>
      <c r="M97" s="25"/>
      <c r="N97" s="24"/>
      <c r="O97" s="24"/>
      <c r="P97" s="24"/>
      <c r="Q97" s="24"/>
      <c r="R97" s="24"/>
      <c r="S97" s="22"/>
      <c r="T97" s="22"/>
      <c r="U97" s="22"/>
      <c r="V97" s="22"/>
    </row>
    <row r="98" spans="1:22" s="1" customFormat="1" x14ac:dyDescent="0.25">
      <c r="A98" s="22"/>
      <c r="B98" s="22"/>
      <c r="C98" s="23"/>
      <c r="D98" s="23"/>
      <c r="E98" s="23"/>
      <c r="F98" s="24"/>
      <c r="G98" s="24"/>
      <c r="H98" s="24"/>
      <c r="I98" s="24"/>
      <c r="J98" s="24"/>
      <c r="K98" s="24"/>
      <c r="L98" s="24"/>
      <c r="M98" s="25"/>
      <c r="N98" s="24"/>
      <c r="O98" s="24"/>
      <c r="P98" s="24"/>
      <c r="Q98" s="24"/>
      <c r="R98" s="24"/>
      <c r="S98" s="22"/>
      <c r="T98" s="22"/>
      <c r="U98" s="22"/>
      <c r="V98" s="22"/>
    </row>
    <row r="99" spans="1:22" s="1" customFormat="1" x14ac:dyDescent="0.25">
      <c r="A99" s="22"/>
      <c r="B99" s="22"/>
      <c r="C99" s="23"/>
      <c r="D99" s="23"/>
      <c r="E99" s="23"/>
      <c r="F99" s="23"/>
      <c r="G99" s="23"/>
      <c r="H99" s="24"/>
      <c r="I99" s="24"/>
      <c r="J99" s="24"/>
      <c r="K99" s="24"/>
      <c r="L99" s="24"/>
      <c r="M99" s="25"/>
      <c r="N99" s="24"/>
      <c r="O99" s="24"/>
      <c r="P99" s="24"/>
      <c r="Q99" s="24"/>
      <c r="R99" s="24"/>
      <c r="S99" s="22"/>
      <c r="T99" s="22"/>
      <c r="U99" s="22"/>
      <c r="V99" s="22"/>
    </row>
    <row r="100" spans="1:22" s="1" customFormat="1" x14ac:dyDescent="0.25">
      <c r="A100" s="22"/>
      <c r="B100" s="22"/>
      <c r="C100" s="23"/>
      <c r="D100" s="23"/>
      <c r="E100" s="23"/>
      <c r="F100" s="24"/>
      <c r="G100" s="24"/>
      <c r="H100" s="24"/>
      <c r="I100" s="24"/>
      <c r="J100" s="24"/>
      <c r="K100" s="24"/>
      <c r="L100" s="24"/>
      <c r="M100" s="25"/>
      <c r="N100" s="24"/>
      <c r="O100" s="24"/>
      <c r="P100" s="24"/>
      <c r="Q100" s="24"/>
      <c r="R100" s="24"/>
      <c r="S100" s="22"/>
      <c r="T100" s="22"/>
      <c r="U100" s="22"/>
      <c r="V100" s="22"/>
    </row>
    <row r="101" spans="1:22" s="1" customFormat="1" x14ac:dyDescent="0.25">
      <c r="A101" s="22"/>
      <c r="B101" s="22"/>
      <c r="C101" s="23"/>
      <c r="D101" s="23"/>
      <c r="E101" s="23"/>
      <c r="F101" s="24"/>
      <c r="G101" s="24"/>
      <c r="H101" s="24"/>
      <c r="I101" s="24"/>
      <c r="J101" s="24"/>
      <c r="K101" s="24"/>
      <c r="L101" s="24"/>
      <c r="M101" s="25"/>
      <c r="N101" s="24"/>
      <c r="O101" s="24"/>
      <c r="P101" s="24"/>
      <c r="Q101" s="24"/>
      <c r="R101" s="24"/>
      <c r="S101" s="22"/>
      <c r="T101" s="22"/>
      <c r="U101" s="22"/>
      <c r="V101" s="22"/>
    </row>
    <row r="102" spans="1:22" s="1" customFormat="1" x14ac:dyDescent="0.25">
      <c r="A102" s="22"/>
      <c r="B102" s="22"/>
      <c r="C102" s="23"/>
      <c r="D102" s="23"/>
      <c r="E102" s="23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2"/>
      <c r="T102" s="22"/>
      <c r="U102" s="22"/>
      <c r="V102" s="22"/>
    </row>
    <row r="103" spans="1:22" s="1" customFormat="1" x14ac:dyDescent="0.25">
      <c r="A103" s="22"/>
      <c r="B103" s="22"/>
      <c r="C103" s="23"/>
      <c r="D103" s="23"/>
      <c r="E103" s="23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2"/>
      <c r="T103" s="22"/>
      <c r="U103" s="22"/>
      <c r="V103" s="22"/>
    </row>
    <row r="104" spans="1:22" s="1" customFormat="1" x14ac:dyDescent="0.25">
      <c r="A104" s="22"/>
      <c r="B104" s="22"/>
      <c r="C104" s="23"/>
      <c r="D104" s="23"/>
      <c r="E104" s="23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2"/>
      <c r="T104" s="22"/>
      <c r="U104" s="22"/>
      <c r="V104" s="22"/>
    </row>
    <row r="105" spans="1:22" s="1" customFormat="1" x14ac:dyDescent="0.25">
      <c r="A105" s="22"/>
      <c r="B105" s="22"/>
      <c r="C105" s="23"/>
      <c r="D105" s="23"/>
      <c r="E105" s="23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2"/>
      <c r="T105" s="22"/>
      <c r="U105" s="22"/>
      <c r="V105" s="22"/>
    </row>
    <row r="106" spans="1:22" x14ac:dyDescent="0.25"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</row>
    <row r="107" spans="1:22" x14ac:dyDescent="0.25">
      <c r="C107" s="3"/>
      <c r="D107" s="3"/>
      <c r="E107" s="3"/>
      <c r="F107" s="4"/>
      <c r="G107" s="4"/>
      <c r="H107" s="4"/>
      <c r="I107" s="4"/>
      <c r="J107" s="4"/>
      <c r="K107" s="4"/>
      <c r="L107" s="5"/>
      <c r="M107" s="4"/>
      <c r="N107" s="5"/>
      <c r="O107" s="4"/>
      <c r="P107" s="4"/>
      <c r="Q107" s="4"/>
      <c r="R107" s="5"/>
    </row>
    <row r="108" spans="1:22" x14ac:dyDescent="0.25">
      <c r="C108" s="3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5"/>
    </row>
    <row r="109" spans="1:22" x14ac:dyDescent="0.25">
      <c r="C109" s="3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5"/>
      <c r="R109" s="5"/>
    </row>
    <row r="110" spans="1:22" x14ac:dyDescent="0.25">
      <c r="C110" s="3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5"/>
      <c r="R110" s="5"/>
    </row>
    <row r="111" spans="1:22" x14ac:dyDescent="0.25">
      <c r="C111" s="3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5"/>
      <c r="R111" s="5"/>
    </row>
    <row r="112" spans="1:22" x14ac:dyDescent="0.25">
      <c r="C112" s="3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</row>
    <row r="113" spans="1:22" x14ac:dyDescent="0.25"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</row>
    <row r="114" spans="1:22" x14ac:dyDescent="0.25">
      <c r="A114"/>
      <c r="B114"/>
      <c r="C114" s="3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/>
      <c r="T114"/>
      <c r="U114"/>
      <c r="V114"/>
    </row>
    <row r="115" spans="1:22" x14ac:dyDescent="0.25">
      <c r="A115"/>
      <c r="B115"/>
      <c r="C115" s="3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/>
      <c r="T115"/>
      <c r="U115"/>
      <c r="V115"/>
    </row>
    <row r="116" spans="1:22" x14ac:dyDescent="0.25">
      <c r="A116"/>
      <c r="B116"/>
      <c r="C116" s="3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/>
      <c r="T116"/>
      <c r="U116"/>
      <c r="V116"/>
    </row>
    <row r="117" spans="1:22" x14ac:dyDescent="0.25">
      <c r="A117"/>
      <c r="B117"/>
      <c r="C117" s="3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/>
      <c r="T117"/>
      <c r="U117"/>
      <c r="V117"/>
    </row>
  </sheetData>
  <sheetProtection algorithmName="SHA-512" hashValue="kanwzj1YkSk5BQU1f5SDmgJAlzastcaeukCwPQTuWOnS+h3HxZdHVNaofo45ktqQbHQrQUcTrp5eGCwlWrMlZQ==" saltValue="N2t9hAkPJvZLS0uGV715qA==" spinCount="100000" sheet="1" objects="1" scenarios="1" formatCells="0" formatColumns="0" formatRows="0"/>
  <mergeCells count="5">
    <mergeCell ref="C11:E11"/>
    <mergeCell ref="J11:R11"/>
    <mergeCell ref="F11:I11"/>
    <mergeCell ref="S11:V11"/>
    <mergeCell ref="W11:AF11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X234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5.75" x14ac:dyDescent="0.25"/>
  <cols>
    <col min="1" max="1" width="16.375" customWidth="1"/>
  </cols>
  <sheetData>
    <row r="1" spans="1:24" ht="21" x14ac:dyDescent="0.35">
      <c r="A1" s="9" t="s">
        <v>1091</v>
      </c>
    </row>
    <row r="2" spans="1:24" x14ac:dyDescent="0.25">
      <c r="A2" s="6"/>
    </row>
    <row r="3" spans="1:24" x14ac:dyDescent="0.25">
      <c r="A3" s="6" t="s">
        <v>1100</v>
      </c>
    </row>
    <row r="4" spans="1:24" x14ac:dyDescent="0.25">
      <c r="A4" s="87" t="s">
        <v>1134</v>
      </c>
    </row>
    <row r="5" spans="1:24" x14ac:dyDescent="0.25">
      <c r="A5" s="88" t="s">
        <v>1101</v>
      </c>
    </row>
    <row r="6" spans="1:24" x14ac:dyDescent="0.25">
      <c r="A6" s="6" t="s">
        <v>1099</v>
      </c>
    </row>
    <row r="8" spans="1:24" x14ac:dyDescent="0.25">
      <c r="A8" s="6"/>
    </row>
    <row r="9" spans="1:24" ht="21" x14ac:dyDescent="0.35">
      <c r="C9" s="165" t="s">
        <v>1088</v>
      </c>
      <c r="D9" s="167"/>
      <c r="E9" s="165" t="s">
        <v>1089</v>
      </c>
      <c r="F9" s="166"/>
      <c r="G9" s="166"/>
      <c r="H9" s="166"/>
      <c r="I9" s="166"/>
      <c r="J9" s="166"/>
      <c r="K9" s="166"/>
      <c r="L9" s="167"/>
      <c r="M9" s="165" t="s">
        <v>1090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7"/>
    </row>
    <row r="10" spans="1:24" x14ac:dyDescent="0.25">
      <c r="C10" s="172" t="s">
        <v>1085</v>
      </c>
      <c r="D10" s="171"/>
      <c r="E10" s="172" t="s">
        <v>1076</v>
      </c>
      <c r="F10" s="169"/>
      <c r="G10" s="168" t="s">
        <v>1077</v>
      </c>
      <c r="H10" s="170"/>
      <c r="I10" s="168" t="s">
        <v>1078</v>
      </c>
      <c r="J10" s="170"/>
      <c r="K10" s="169" t="s">
        <v>1079</v>
      </c>
      <c r="L10" s="171"/>
      <c r="M10" s="172" t="s">
        <v>1080</v>
      </c>
      <c r="N10" s="169"/>
      <c r="O10" s="169"/>
      <c r="P10" s="168" t="s">
        <v>1081</v>
      </c>
      <c r="Q10" s="169"/>
      <c r="R10" s="170"/>
      <c r="S10" s="168" t="s">
        <v>1082</v>
      </c>
      <c r="T10" s="169"/>
      <c r="U10" s="170"/>
      <c r="V10" s="169" t="s">
        <v>1083</v>
      </c>
      <c r="W10" s="169"/>
      <c r="X10" s="171"/>
    </row>
    <row r="11" spans="1:24" x14ac:dyDescent="0.25">
      <c r="A11" s="80" t="s">
        <v>1133</v>
      </c>
      <c r="B11" s="80" t="s">
        <v>1084</v>
      </c>
      <c r="C11" s="102" t="s">
        <v>1074</v>
      </c>
      <c r="D11" s="107" t="s">
        <v>1075</v>
      </c>
      <c r="E11" s="102" t="s">
        <v>1074</v>
      </c>
      <c r="F11" s="80" t="s">
        <v>1075</v>
      </c>
      <c r="G11" s="124" t="s">
        <v>1074</v>
      </c>
      <c r="H11" s="125" t="s">
        <v>1075</v>
      </c>
      <c r="I11" s="124" t="s">
        <v>1074</v>
      </c>
      <c r="J11" s="125" t="s">
        <v>1075</v>
      </c>
      <c r="K11" s="80" t="s">
        <v>1074</v>
      </c>
      <c r="L11" s="107" t="s">
        <v>1075</v>
      </c>
      <c r="M11" s="102" t="s">
        <v>1074</v>
      </c>
      <c r="N11" s="80" t="s">
        <v>1075</v>
      </c>
      <c r="O11" s="80" t="s">
        <v>1086</v>
      </c>
      <c r="P11" s="124" t="s">
        <v>1074</v>
      </c>
      <c r="Q11" s="80" t="s">
        <v>1075</v>
      </c>
      <c r="R11" s="125" t="s">
        <v>1086</v>
      </c>
      <c r="S11" s="124" t="s">
        <v>1074</v>
      </c>
      <c r="T11" s="80" t="s">
        <v>1075</v>
      </c>
      <c r="U11" s="125" t="s">
        <v>1086</v>
      </c>
      <c r="V11" s="80" t="s">
        <v>1074</v>
      </c>
      <c r="W11" s="80" t="s">
        <v>1075</v>
      </c>
      <c r="X11" s="107" t="s">
        <v>1086</v>
      </c>
    </row>
    <row r="12" spans="1:24" x14ac:dyDescent="0.25">
      <c r="A12" t="s">
        <v>1087</v>
      </c>
      <c r="B12">
        <v>20080194</v>
      </c>
      <c r="C12" s="103">
        <v>19232.8</v>
      </c>
      <c r="D12" s="108">
        <v>7239.8</v>
      </c>
      <c r="E12" s="114">
        <v>2.5701500000000001E-5</v>
      </c>
      <c r="F12" s="115">
        <v>4.31414E-5</v>
      </c>
      <c r="G12" s="132">
        <v>8.3245699999999995E-6</v>
      </c>
      <c r="H12" s="133">
        <v>1.14198E-5</v>
      </c>
      <c r="I12" s="132">
        <v>6.3457799999999997E-6</v>
      </c>
      <c r="J12" s="133">
        <v>7.3110699999999998E-6</v>
      </c>
      <c r="K12" s="115">
        <v>6.3457799999999997E-6</v>
      </c>
      <c r="L12" s="116">
        <v>7.3110699999999998E-6</v>
      </c>
      <c r="M12" s="105">
        <v>11</v>
      </c>
      <c r="N12" s="106">
        <v>42</v>
      </c>
      <c r="O12" s="106">
        <v>28</v>
      </c>
      <c r="P12" s="126">
        <v>0</v>
      </c>
      <c r="Q12" s="106">
        <v>1</v>
      </c>
      <c r="R12" s="127">
        <v>3</v>
      </c>
      <c r="S12" s="126">
        <v>0</v>
      </c>
      <c r="T12" s="106">
        <v>0</v>
      </c>
      <c r="U12" s="127">
        <v>1</v>
      </c>
      <c r="V12" s="106">
        <v>0</v>
      </c>
      <c r="W12" s="106">
        <v>0</v>
      </c>
      <c r="X12" s="109">
        <v>1</v>
      </c>
    </row>
    <row r="13" spans="1:24" x14ac:dyDescent="0.25">
      <c r="B13">
        <v>20080341</v>
      </c>
      <c r="C13" s="103">
        <v>13215.1</v>
      </c>
      <c r="D13" s="108">
        <v>6393.7</v>
      </c>
      <c r="E13" s="114">
        <v>1.1777699999999999E-4</v>
      </c>
      <c r="F13" s="115">
        <v>1.29515E-4</v>
      </c>
      <c r="G13" s="132">
        <v>5.2565899999999998E-5</v>
      </c>
      <c r="H13" s="133">
        <v>5.50764E-5</v>
      </c>
      <c r="I13" s="132">
        <v>4.5217199999999998E-5</v>
      </c>
      <c r="J13" s="133">
        <v>4.4813800000000001E-5</v>
      </c>
      <c r="K13" s="115">
        <v>3.7901699999999997E-5</v>
      </c>
      <c r="L13" s="116">
        <v>3.7903500000000001E-5</v>
      </c>
      <c r="M13" s="105">
        <v>9</v>
      </c>
      <c r="N13" s="106">
        <v>38</v>
      </c>
      <c r="O13" s="106">
        <v>89</v>
      </c>
      <c r="P13" s="126">
        <v>1</v>
      </c>
      <c r="Q13" s="106">
        <v>1</v>
      </c>
      <c r="R13" s="127">
        <v>9</v>
      </c>
      <c r="S13" s="126">
        <v>0</v>
      </c>
      <c r="T13" s="106">
        <v>0</v>
      </c>
      <c r="U13" s="127">
        <v>4</v>
      </c>
      <c r="V13" s="106">
        <v>0</v>
      </c>
      <c r="W13" s="106">
        <v>0</v>
      </c>
      <c r="X13" s="109">
        <v>2</v>
      </c>
    </row>
    <row r="14" spans="1:24" x14ac:dyDescent="0.25">
      <c r="B14">
        <v>20080684</v>
      </c>
      <c r="C14" s="103">
        <v>24824.9</v>
      </c>
      <c r="D14" s="108">
        <v>7167.8</v>
      </c>
      <c r="E14" s="114">
        <v>6.0387999999999998E-5</v>
      </c>
      <c r="F14" s="115">
        <v>5.9259100000000003E-5</v>
      </c>
      <c r="G14" s="132">
        <v>4.6502499999999997E-5</v>
      </c>
      <c r="H14" s="133">
        <v>4.6381999999999997E-5</v>
      </c>
      <c r="I14" s="132">
        <v>3.8784400000000001E-5</v>
      </c>
      <c r="J14" s="133">
        <v>4.2964399999999998E-5</v>
      </c>
      <c r="K14" s="115">
        <v>1.1330499999999999E-5</v>
      </c>
      <c r="L14" s="116">
        <v>2.1665300000000001E-5</v>
      </c>
      <c r="M14" s="105">
        <v>5</v>
      </c>
      <c r="N14" s="106">
        <v>3</v>
      </c>
      <c r="O14" s="106">
        <v>28</v>
      </c>
      <c r="P14" s="126">
        <v>0</v>
      </c>
      <c r="Q14" s="106">
        <v>0</v>
      </c>
      <c r="R14" s="127">
        <v>13</v>
      </c>
      <c r="S14" s="126">
        <v>1</v>
      </c>
      <c r="T14" s="106">
        <v>2</v>
      </c>
      <c r="U14" s="127">
        <v>9</v>
      </c>
      <c r="V14" s="106">
        <v>0</v>
      </c>
      <c r="W14" s="106">
        <v>0</v>
      </c>
      <c r="X14" s="109">
        <v>4</v>
      </c>
    </row>
    <row r="15" spans="1:24" x14ac:dyDescent="0.25">
      <c r="B15">
        <v>20080698</v>
      </c>
      <c r="C15" s="103">
        <v>45154.1</v>
      </c>
      <c r="D15" s="108">
        <v>7492.9</v>
      </c>
      <c r="E15" s="114">
        <v>1.81744E-5</v>
      </c>
      <c r="F15" s="115">
        <v>1.7047199999999998E-5</v>
      </c>
      <c r="G15" s="132">
        <v>5.11518E-6</v>
      </c>
      <c r="H15" s="133">
        <v>3.6196200000000002E-6</v>
      </c>
      <c r="I15" s="132">
        <v>5.11518E-6</v>
      </c>
      <c r="J15" s="133">
        <v>3.6196200000000002E-6</v>
      </c>
      <c r="K15" s="117">
        <v>1.9999999999999999E-7</v>
      </c>
      <c r="L15" s="118">
        <v>1.9999999999999999E-7</v>
      </c>
      <c r="M15" s="105">
        <v>19</v>
      </c>
      <c r="N15" s="106">
        <v>10</v>
      </c>
      <c r="O15" s="106">
        <v>14</v>
      </c>
      <c r="P15" s="126">
        <v>0</v>
      </c>
      <c r="Q15" s="106">
        <v>0</v>
      </c>
      <c r="R15" s="127">
        <v>1</v>
      </c>
      <c r="S15" s="126">
        <v>0</v>
      </c>
      <c r="T15" s="106">
        <v>0</v>
      </c>
      <c r="U15" s="127">
        <v>1</v>
      </c>
      <c r="V15" s="106">
        <v>0</v>
      </c>
      <c r="W15" s="106">
        <v>0</v>
      </c>
      <c r="X15" s="109">
        <v>0</v>
      </c>
    </row>
    <row r="16" spans="1:24" x14ac:dyDescent="0.25">
      <c r="B16">
        <v>20080719</v>
      </c>
      <c r="C16" s="103">
        <v>8651.1</v>
      </c>
      <c r="D16" s="108">
        <v>6483.5</v>
      </c>
      <c r="E16" s="114">
        <v>3.6052900000000002E-5</v>
      </c>
      <c r="F16" s="115">
        <v>4.1629199999999998E-5</v>
      </c>
      <c r="G16" s="132">
        <v>2.7052299999999998E-5</v>
      </c>
      <c r="H16" s="133">
        <v>2.9417E-5</v>
      </c>
      <c r="I16" s="132">
        <v>2.4625199999999999E-5</v>
      </c>
      <c r="J16" s="133">
        <v>2.7055599999999999E-5</v>
      </c>
      <c r="K16" s="115">
        <v>1.46639E-6</v>
      </c>
      <c r="L16" s="119">
        <v>1.8891700000000001E-6</v>
      </c>
      <c r="M16" s="105">
        <v>2</v>
      </c>
      <c r="N16" s="106">
        <v>14</v>
      </c>
      <c r="O16" s="106">
        <v>18</v>
      </c>
      <c r="P16" s="126">
        <v>0</v>
      </c>
      <c r="Q16" s="106">
        <v>0</v>
      </c>
      <c r="R16" s="127">
        <v>11</v>
      </c>
      <c r="S16" s="126">
        <v>0</v>
      </c>
      <c r="T16" s="106">
        <v>0</v>
      </c>
      <c r="U16" s="127">
        <v>10</v>
      </c>
      <c r="V16" s="106">
        <v>0</v>
      </c>
      <c r="W16" s="106">
        <v>0</v>
      </c>
      <c r="X16" s="109">
        <v>1</v>
      </c>
    </row>
    <row r="17" spans="2:24" x14ac:dyDescent="0.25">
      <c r="B17">
        <v>20080832</v>
      </c>
      <c r="C17" s="103">
        <v>15254.1</v>
      </c>
      <c r="D17" s="108">
        <v>7069.5</v>
      </c>
      <c r="E17" s="114">
        <v>3.1745600000000003E-5</v>
      </c>
      <c r="F17" s="115">
        <v>3.8302200000000001E-5</v>
      </c>
      <c r="G17" s="132">
        <v>1.0897299999999999E-6</v>
      </c>
      <c r="H17" s="133">
        <v>4.20767E-6</v>
      </c>
      <c r="I17" s="134">
        <v>1.9999999999999999E-7</v>
      </c>
      <c r="J17" s="135">
        <v>1.9999999999999999E-7</v>
      </c>
      <c r="K17" s="117">
        <v>1.9999999999999999E-7</v>
      </c>
      <c r="L17" s="118">
        <v>1.9999999999999999E-7</v>
      </c>
      <c r="M17" s="105">
        <v>12</v>
      </c>
      <c r="N17" s="106">
        <v>23</v>
      </c>
      <c r="O17" s="106">
        <v>39</v>
      </c>
      <c r="P17" s="126">
        <v>1</v>
      </c>
      <c r="Q17" s="106">
        <v>2</v>
      </c>
      <c r="R17" s="127">
        <v>1</v>
      </c>
      <c r="S17" s="126">
        <v>0</v>
      </c>
      <c r="T17" s="106">
        <v>0</v>
      </c>
      <c r="U17" s="127">
        <v>0</v>
      </c>
      <c r="V17" s="106">
        <v>0</v>
      </c>
      <c r="W17" s="106">
        <v>0</v>
      </c>
      <c r="X17" s="109">
        <v>0</v>
      </c>
    </row>
    <row r="18" spans="2:24" x14ac:dyDescent="0.25">
      <c r="B18">
        <v>20080857</v>
      </c>
      <c r="C18" s="103">
        <v>27142.6</v>
      </c>
      <c r="D18" s="108">
        <v>7220.6</v>
      </c>
      <c r="E18" s="114">
        <v>7.7198400000000003E-5</v>
      </c>
      <c r="F18" s="115">
        <v>7.2820799999999999E-5</v>
      </c>
      <c r="G18" s="132">
        <v>5.0106399999999999E-5</v>
      </c>
      <c r="H18" s="133">
        <v>5.2525499999999997E-5</v>
      </c>
      <c r="I18" s="132">
        <v>5.0106399999999999E-5</v>
      </c>
      <c r="J18" s="133">
        <v>5.1192700000000002E-5</v>
      </c>
      <c r="K18" s="115">
        <v>1.7164200000000001E-5</v>
      </c>
      <c r="L18" s="116">
        <v>2.3688000000000001E-5</v>
      </c>
      <c r="M18" s="105">
        <v>24</v>
      </c>
      <c r="N18" s="106">
        <v>15</v>
      </c>
      <c r="O18" s="106">
        <v>32</v>
      </c>
      <c r="P18" s="126">
        <v>0</v>
      </c>
      <c r="Q18" s="106">
        <v>1</v>
      </c>
      <c r="R18" s="127">
        <v>11</v>
      </c>
      <c r="S18" s="126">
        <v>0</v>
      </c>
      <c r="T18" s="106">
        <v>0</v>
      </c>
      <c r="U18" s="127">
        <v>11</v>
      </c>
      <c r="V18" s="106">
        <v>1</v>
      </c>
      <c r="W18" s="106">
        <v>1</v>
      </c>
      <c r="X18" s="109">
        <v>3</v>
      </c>
    </row>
    <row r="19" spans="2:24" x14ac:dyDescent="0.25">
      <c r="B19">
        <v>20080860</v>
      </c>
      <c r="C19" s="103">
        <v>13075.9</v>
      </c>
      <c r="D19" s="108">
        <v>7046</v>
      </c>
      <c r="E19" s="114">
        <v>4.9746800000000003E-5</v>
      </c>
      <c r="F19" s="115">
        <v>5.9849499999999997E-5</v>
      </c>
      <c r="G19" s="132">
        <v>1.6359200000000001E-5</v>
      </c>
      <c r="H19" s="133">
        <v>1.89979E-5</v>
      </c>
      <c r="I19" s="132">
        <v>1.5255199999999999E-5</v>
      </c>
      <c r="J19" s="133">
        <v>1.7694100000000001E-5</v>
      </c>
      <c r="K19" s="115">
        <v>7.8952500000000003E-6</v>
      </c>
      <c r="L19" s="116">
        <v>7.9468199999999996E-6</v>
      </c>
      <c r="M19" s="105">
        <v>9</v>
      </c>
      <c r="N19" s="106">
        <v>34</v>
      </c>
      <c r="O19" s="106">
        <v>44</v>
      </c>
      <c r="P19" s="126">
        <v>0</v>
      </c>
      <c r="Q19" s="106">
        <v>0</v>
      </c>
      <c r="R19" s="127">
        <v>5</v>
      </c>
      <c r="S19" s="126">
        <v>0</v>
      </c>
      <c r="T19" s="106">
        <v>0</v>
      </c>
      <c r="U19" s="127">
        <v>4</v>
      </c>
      <c r="V19" s="106">
        <v>0</v>
      </c>
      <c r="W19" s="106">
        <v>0</v>
      </c>
      <c r="X19" s="109">
        <v>1</v>
      </c>
    </row>
    <row r="20" spans="2:24" x14ac:dyDescent="0.25">
      <c r="B20">
        <v>20080867</v>
      </c>
      <c r="C20" s="103">
        <v>13702</v>
      </c>
      <c r="D20" s="108">
        <v>5354.2</v>
      </c>
      <c r="E20" s="114">
        <v>4.0277500000000002E-4</v>
      </c>
      <c r="F20" s="115">
        <v>3.6667699999999999E-4</v>
      </c>
      <c r="G20" s="132">
        <v>3.7180699999999999E-4</v>
      </c>
      <c r="H20" s="133">
        <v>3.29666E-4</v>
      </c>
      <c r="I20" s="132">
        <v>3.6720900000000001E-4</v>
      </c>
      <c r="J20" s="133">
        <v>3.04584E-4</v>
      </c>
      <c r="K20" s="115">
        <v>3.5731199999999998E-4</v>
      </c>
      <c r="L20" s="116">
        <v>2.7500799999999998E-4</v>
      </c>
      <c r="M20" s="105">
        <v>13</v>
      </c>
      <c r="N20" s="106">
        <v>43</v>
      </c>
      <c r="O20" s="106">
        <v>72</v>
      </c>
      <c r="P20" s="126">
        <v>1</v>
      </c>
      <c r="Q20" s="106">
        <v>12</v>
      </c>
      <c r="R20" s="127">
        <v>44</v>
      </c>
      <c r="S20" s="126">
        <v>1</v>
      </c>
      <c r="T20" s="106">
        <v>3</v>
      </c>
      <c r="U20" s="127">
        <v>27</v>
      </c>
      <c r="V20" s="106">
        <v>2</v>
      </c>
      <c r="W20" s="106">
        <v>1</v>
      </c>
      <c r="X20" s="109">
        <v>8</v>
      </c>
    </row>
    <row r="21" spans="2:24" x14ac:dyDescent="0.25">
      <c r="B21">
        <v>20080869</v>
      </c>
      <c r="C21" s="103">
        <v>9036</v>
      </c>
      <c r="D21" s="108">
        <v>5206.7</v>
      </c>
      <c r="E21" s="114">
        <v>1.9996300000000001E-3</v>
      </c>
      <c r="F21" s="115">
        <v>1.5591800000000001E-3</v>
      </c>
      <c r="G21" s="132">
        <v>1.93103E-3</v>
      </c>
      <c r="H21" s="133">
        <v>1.4874300000000001E-3</v>
      </c>
      <c r="I21" s="132">
        <v>1.8993199999999999E-3</v>
      </c>
      <c r="J21" s="133">
        <v>1.44618E-3</v>
      </c>
      <c r="K21" s="115">
        <v>1.7879700000000001E-3</v>
      </c>
      <c r="L21" s="116">
        <v>1.3140199999999999E-3</v>
      </c>
      <c r="M21" s="105">
        <v>32</v>
      </c>
      <c r="N21" s="106">
        <v>46</v>
      </c>
      <c r="O21" s="106">
        <v>212</v>
      </c>
      <c r="P21" s="126">
        <v>33</v>
      </c>
      <c r="Q21" s="106">
        <v>11</v>
      </c>
      <c r="R21" s="127">
        <v>158</v>
      </c>
      <c r="S21" s="126">
        <v>35</v>
      </c>
      <c r="T21" s="106">
        <v>11</v>
      </c>
      <c r="U21" s="127">
        <v>130</v>
      </c>
      <c r="V21" s="106">
        <v>32</v>
      </c>
      <c r="W21" s="106">
        <v>6</v>
      </c>
      <c r="X21" s="109">
        <v>85</v>
      </c>
    </row>
    <row r="22" spans="2:24" x14ac:dyDescent="0.25">
      <c r="B22">
        <v>20080933</v>
      </c>
      <c r="C22" s="103">
        <v>9894.1</v>
      </c>
      <c r="D22" s="108">
        <v>5805.7</v>
      </c>
      <c r="E22" s="114">
        <v>5.8405200000000001E-5</v>
      </c>
      <c r="F22" s="115">
        <v>7.6100900000000002E-5</v>
      </c>
      <c r="G22" s="132">
        <v>3.3380699999999997E-5</v>
      </c>
      <c r="H22" s="133">
        <v>3.3152799999999999E-5</v>
      </c>
      <c r="I22" s="132">
        <v>1.3087E-5</v>
      </c>
      <c r="J22" s="133">
        <v>1.7405200000000001E-5</v>
      </c>
      <c r="K22" s="120">
        <v>6.1898E-7</v>
      </c>
      <c r="L22" s="119">
        <v>1.05486E-6</v>
      </c>
      <c r="M22" s="105">
        <v>6</v>
      </c>
      <c r="N22" s="106">
        <v>38</v>
      </c>
      <c r="O22" s="106">
        <v>46</v>
      </c>
      <c r="P22" s="126">
        <v>2</v>
      </c>
      <c r="Q22" s="106">
        <v>0</v>
      </c>
      <c r="R22" s="127">
        <v>16</v>
      </c>
      <c r="S22" s="126">
        <v>0</v>
      </c>
      <c r="T22" s="106">
        <v>0</v>
      </c>
      <c r="U22" s="127">
        <v>7</v>
      </c>
      <c r="V22" s="106">
        <v>0</v>
      </c>
      <c r="W22" s="106">
        <v>0</v>
      </c>
      <c r="X22" s="109">
        <v>1</v>
      </c>
    </row>
    <row r="23" spans="2:24" x14ac:dyDescent="0.25">
      <c r="B23">
        <v>20080980</v>
      </c>
      <c r="C23" s="103">
        <v>25036.5</v>
      </c>
      <c r="D23" s="108">
        <v>6478.2</v>
      </c>
      <c r="E23" s="114">
        <v>8.5911199999999998E-5</v>
      </c>
      <c r="F23" s="115">
        <v>8.2448900000000003E-5</v>
      </c>
      <c r="G23" s="132">
        <v>3.8823399999999998E-5</v>
      </c>
      <c r="H23" s="133">
        <v>5.0441700000000002E-5</v>
      </c>
      <c r="I23" s="132">
        <v>2.5230000000000001E-5</v>
      </c>
      <c r="J23" s="133">
        <v>3.2007200000000001E-5</v>
      </c>
      <c r="K23" s="115">
        <v>1.7192699999999999E-5</v>
      </c>
      <c r="L23" s="116">
        <v>1.22222E-5</v>
      </c>
      <c r="M23" s="105">
        <v>13</v>
      </c>
      <c r="N23" s="106">
        <v>9</v>
      </c>
      <c r="O23" s="106">
        <v>50</v>
      </c>
      <c r="P23" s="126">
        <v>2</v>
      </c>
      <c r="Q23" s="106">
        <v>5</v>
      </c>
      <c r="R23" s="127">
        <v>15</v>
      </c>
      <c r="S23" s="126">
        <v>0</v>
      </c>
      <c r="T23" s="106">
        <v>3</v>
      </c>
      <c r="U23" s="127">
        <v>6</v>
      </c>
      <c r="V23" s="106">
        <v>0</v>
      </c>
      <c r="W23" s="106">
        <v>0</v>
      </c>
      <c r="X23" s="109">
        <v>2</v>
      </c>
    </row>
    <row r="24" spans="2:24" x14ac:dyDescent="0.25">
      <c r="B24">
        <v>20081042</v>
      </c>
      <c r="C24" s="103">
        <v>17384.8</v>
      </c>
      <c r="D24" s="108">
        <v>6835.3</v>
      </c>
      <c r="E24" s="114">
        <v>1.56511E-5</v>
      </c>
      <c r="F24" s="115">
        <v>1.54875E-5</v>
      </c>
      <c r="G24" s="132">
        <v>6.08932E-6</v>
      </c>
      <c r="H24" s="133">
        <v>8.63973E-6</v>
      </c>
      <c r="I24" s="132">
        <v>2.0633199999999999E-6</v>
      </c>
      <c r="J24" s="133">
        <v>5.2478400000000002E-6</v>
      </c>
      <c r="K24" s="115">
        <v>2.0633199999999999E-6</v>
      </c>
      <c r="L24" s="116">
        <v>5.2478400000000002E-6</v>
      </c>
      <c r="M24" s="105">
        <v>8</v>
      </c>
      <c r="N24" s="106">
        <v>5</v>
      </c>
      <c r="O24" s="106">
        <v>9</v>
      </c>
      <c r="P24" s="126">
        <v>0</v>
      </c>
      <c r="Q24" s="106">
        <v>0</v>
      </c>
      <c r="R24" s="127">
        <v>3</v>
      </c>
      <c r="S24" s="126">
        <v>0</v>
      </c>
      <c r="T24" s="106">
        <v>0</v>
      </c>
      <c r="U24" s="127">
        <v>1</v>
      </c>
      <c r="V24" s="106">
        <v>0</v>
      </c>
      <c r="W24" s="106">
        <v>0</v>
      </c>
      <c r="X24" s="109">
        <v>1</v>
      </c>
    </row>
    <row r="25" spans="2:24" x14ac:dyDescent="0.25">
      <c r="B25">
        <v>20081054</v>
      </c>
      <c r="C25" s="103">
        <v>11428.5</v>
      </c>
      <c r="D25" s="108">
        <v>6782.8</v>
      </c>
      <c r="E25" s="114">
        <v>3.3224199999999999E-5</v>
      </c>
      <c r="F25" s="115">
        <v>4.39201E-5</v>
      </c>
      <c r="G25" s="132">
        <v>2.22005E-6</v>
      </c>
      <c r="H25" s="133">
        <v>3.41815E-6</v>
      </c>
      <c r="I25" s="132">
        <v>1.7990099999999999E-6</v>
      </c>
      <c r="J25" s="133">
        <v>2.5152500000000002E-6</v>
      </c>
      <c r="K25" s="117">
        <v>1.9999999999999999E-7</v>
      </c>
      <c r="L25" s="118">
        <v>1.9999999999999999E-7</v>
      </c>
      <c r="M25" s="105">
        <v>7</v>
      </c>
      <c r="N25" s="106">
        <v>34</v>
      </c>
      <c r="O25" s="106">
        <v>41</v>
      </c>
      <c r="P25" s="126">
        <v>0</v>
      </c>
      <c r="Q25" s="106">
        <v>1</v>
      </c>
      <c r="R25" s="127">
        <v>2</v>
      </c>
      <c r="S25" s="126">
        <v>0</v>
      </c>
      <c r="T25" s="106">
        <v>0</v>
      </c>
      <c r="U25" s="127">
        <v>1</v>
      </c>
      <c r="V25" s="106">
        <v>0</v>
      </c>
      <c r="W25" s="106">
        <v>0</v>
      </c>
      <c r="X25" s="109">
        <v>0</v>
      </c>
    </row>
    <row r="26" spans="2:24" x14ac:dyDescent="0.25">
      <c r="B26">
        <v>20081084</v>
      </c>
      <c r="C26" s="103">
        <v>13400.3</v>
      </c>
      <c r="D26" s="108">
        <v>7072.6</v>
      </c>
      <c r="E26" s="114">
        <v>8.2296600000000001E-5</v>
      </c>
      <c r="F26" s="115">
        <v>1.10775E-4</v>
      </c>
      <c r="G26" s="132">
        <v>6.4048399999999995E-5</v>
      </c>
      <c r="H26" s="133">
        <v>8.5972700000000004E-5</v>
      </c>
      <c r="I26" s="132">
        <v>6.00984E-5</v>
      </c>
      <c r="J26" s="133">
        <v>7.8921699999999994E-5</v>
      </c>
      <c r="K26" s="115">
        <v>5.8400899999999998E-5</v>
      </c>
      <c r="L26" s="116">
        <v>7.3169600000000005E-5</v>
      </c>
      <c r="M26" s="105">
        <v>5</v>
      </c>
      <c r="N26" s="106">
        <v>22</v>
      </c>
      <c r="O26" s="106">
        <v>32</v>
      </c>
      <c r="P26" s="126">
        <v>0</v>
      </c>
      <c r="Q26" s="106">
        <v>2</v>
      </c>
      <c r="R26" s="127">
        <v>12</v>
      </c>
      <c r="S26" s="126">
        <v>0</v>
      </c>
      <c r="T26" s="106">
        <v>0</v>
      </c>
      <c r="U26" s="127">
        <v>8</v>
      </c>
      <c r="V26" s="106">
        <v>1</v>
      </c>
      <c r="W26" s="106">
        <v>0</v>
      </c>
      <c r="X26" s="109">
        <v>5</v>
      </c>
    </row>
    <row r="27" spans="2:24" x14ac:dyDescent="0.25">
      <c r="B27">
        <v>20081149</v>
      </c>
      <c r="C27" s="103">
        <v>52142.2</v>
      </c>
      <c r="D27" s="108">
        <v>7724.7</v>
      </c>
      <c r="E27" s="114">
        <v>7.6050600000000007E-5</v>
      </c>
      <c r="F27" s="115">
        <v>8.08099E-5</v>
      </c>
      <c r="G27" s="132">
        <v>2.51013E-5</v>
      </c>
      <c r="H27" s="133">
        <v>3.5166700000000003E-5</v>
      </c>
      <c r="I27" s="132">
        <v>2.4581100000000001E-5</v>
      </c>
      <c r="J27" s="133">
        <v>2.9447200000000002E-5</v>
      </c>
      <c r="K27" s="115">
        <v>2.4581100000000001E-5</v>
      </c>
      <c r="L27" s="116">
        <v>2.9447200000000002E-5</v>
      </c>
      <c r="M27" s="105">
        <v>36</v>
      </c>
      <c r="N27" s="106">
        <v>12</v>
      </c>
      <c r="O27" s="106">
        <v>77</v>
      </c>
      <c r="P27" s="126">
        <v>0</v>
      </c>
      <c r="Q27" s="106">
        <v>3</v>
      </c>
      <c r="R27" s="127">
        <v>2</v>
      </c>
      <c r="S27" s="126">
        <v>0</v>
      </c>
      <c r="T27" s="106">
        <v>0</v>
      </c>
      <c r="U27" s="127">
        <v>1</v>
      </c>
      <c r="V27" s="106">
        <v>0</v>
      </c>
      <c r="W27" s="106">
        <v>0</v>
      </c>
      <c r="X27" s="109">
        <v>1</v>
      </c>
    </row>
    <row r="28" spans="2:24" x14ac:dyDescent="0.25">
      <c r="B28">
        <v>20081154</v>
      </c>
      <c r="C28" s="103">
        <v>9805.9</v>
      </c>
      <c r="D28" s="108">
        <v>4704.8999999999996</v>
      </c>
      <c r="E28" s="114">
        <v>5.7190700000000001E-5</v>
      </c>
      <c r="F28" s="115">
        <v>6.4897300000000006E-5</v>
      </c>
      <c r="G28" s="132">
        <v>1.6059800000000002E-5</v>
      </c>
      <c r="H28" s="133">
        <v>1.41324E-5</v>
      </c>
      <c r="I28" s="132">
        <v>1.50337E-5</v>
      </c>
      <c r="J28" s="133">
        <v>1.30167E-5</v>
      </c>
      <c r="K28" s="115">
        <v>1.48553E-5</v>
      </c>
      <c r="L28" s="116">
        <v>1.05063E-5</v>
      </c>
      <c r="M28" s="105">
        <v>10</v>
      </c>
      <c r="N28" s="106">
        <v>31</v>
      </c>
      <c r="O28" s="106">
        <v>43</v>
      </c>
      <c r="P28" s="126">
        <v>1</v>
      </c>
      <c r="Q28" s="106">
        <v>10</v>
      </c>
      <c r="R28" s="127">
        <v>3</v>
      </c>
      <c r="S28" s="126">
        <v>0</v>
      </c>
      <c r="T28" s="106">
        <v>9</v>
      </c>
      <c r="U28" s="127">
        <v>2</v>
      </c>
      <c r="V28" s="106">
        <v>0</v>
      </c>
      <c r="W28" s="106">
        <v>1</v>
      </c>
      <c r="X28" s="109">
        <v>1</v>
      </c>
    </row>
    <row r="29" spans="2:24" x14ac:dyDescent="0.25">
      <c r="B29">
        <v>20081164</v>
      </c>
      <c r="C29" s="103">
        <v>17131</v>
      </c>
      <c r="D29" s="108">
        <v>7132.7</v>
      </c>
      <c r="E29" s="114">
        <v>7.58653E-5</v>
      </c>
      <c r="F29" s="115">
        <v>9.6103300000000005E-5</v>
      </c>
      <c r="G29" s="132">
        <v>6.0467499999999997E-5</v>
      </c>
      <c r="H29" s="133">
        <v>7.4760599999999997E-5</v>
      </c>
      <c r="I29" s="132">
        <v>5.8654499999999999E-5</v>
      </c>
      <c r="J29" s="133">
        <v>7.2982099999999994E-5</v>
      </c>
      <c r="K29" s="115">
        <v>5.5794500000000003E-5</v>
      </c>
      <c r="L29" s="116">
        <v>7.0958199999999994E-5</v>
      </c>
      <c r="M29" s="105">
        <v>7</v>
      </c>
      <c r="N29" s="106">
        <v>19</v>
      </c>
      <c r="O29" s="106">
        <v>28</v>
      </c>
      <c r="P29" s="126">
        <v>1</v>
      </c>
      <c r="Q29" s="106">
        <v>0</v>
      </c>
      <c r="R29" s="127">
        <v>7</v>
      </c>
      <c r="S29" s="126">
        <v>0</v>
      </c>
      <c r="T29" s="106">
        <v>0</v>
      </c>
      <c r="U29" s="127">
        <v>6</v>
      </c>
      <c r="V29" s="106">
        <v>0</v>
      </c>
      <c r="W29" s="106">
        <v>0</v>
      </c>
      <c r="X29" s="109">
        <v>5</v>
      </c>
    </row>
    <row r="30" spans="2:24" x14ac:dyDescent="0.25">
      <c r="B30">
        <v>20081170</v>
      </c>
      <c r="C30" s="103">
        <v>89266.9</v>
      </c>
      <c r="D30" s="108">
        <v>7747.1</v>
      </c>
      <c r="E30" s="114">
        <v>5.9148099999999997E-5</v>
      </c>
      <c r="F30" s="115">
        <v>6.1265499999999998E-5</v>
      </c>
      <c r="G30" s="132">
        <v>1.56372E-5</v>
      </c>
      <c r="H30" s="133">
        <v>2.54661E-5</v>
      </c>
      <c r="I30" s="132">
        <v>1.56372E-5</v>
      </c>
      <c r="J30" s="133">
        <v>2.54661E-5</v>
      </c>
      <c r="K30" s="115">
        <v>1.56372E-5</v>
      </c>
      <c r="L30" s="116">
        <v>2.0214800000000002E-5</v>
      </c>
      <c r="M30" s="105">
        <v>42</v>
      </c>
      <c r="N30" s="106">
        <v>4</v>
      </c>
      <c r="O30" s="106">
        <v>58</v>
      </c>
      <c r="P30" s="126">
        <v>0</v>
      </c>
      <c r="Q30" s="106">
        <v>2</v>
      </c>
      <c r="R30" s="127">
        <v>1</v>
      </c>
      <c r="S30" s="126">
        <v>0</v>
      </c>
      <c r="T30" s="106">
        <v>2</v>
      </c>
      <c r="U30" s="127">
        <v>1</v>
      </c>
      <c r="V30" s="106">
        <v>0</v>
      </c>
      <c r="W30" s="106">
        <v>0</v>
      </c>
      <c r="X30" s="109">
        <v>1</v>
      </c>
    </row>
    <row r="31" spans="2:24" x14ac:dyDescent="0.25">
      <c r="B31">
        <v>20081207</v>
      </c>
      <c r="C31" s="103">
        <v>26042.7</v>
      </c>
      <c r="D31" s="108">
        <v>4935.3999999999996</v>
      </c>
      <c r="E31" s="114">
        <v>5.3549499999999999E-5</v>
      </c>
      <c r="F31" s="115">
        <v>5.9030400000000003E-5</v>
      </c>
      <c r="G31" s="132">
        <v>2.7883399999999999E-6</v>
      </c>
      <c r="H31" s="133">
        <v>2.2158600000000002E-5</v>
      </c>
      <c r="I31" s="132">
        <v>2.7883399999999999E-6</v>
      </c>
      <c r="J31" s="133">
        <v>1.8435900000000001E-5</v>
      </c>
      <c r="K31" s="115">
        <v>2.60357E-6</v>
      </c>
      <c r="L31" s="116">
        <v>1.3649700000000001E-5</v>
      </c>
      <c r="M31" s="105">
        <v>30</v>
      </c>
      <c r="N31" s="106">
        <v>19</v>
      </c>
      <c r="O31" s="106">
        <v>56</v>
      </c>
      <c r="P31" s="126">
        <v>0</v>
      </c>
      <c r="Q31" s="106">
        <v>12</v>
      </c>
      <c r="R31" s="127">
        <v>16</v>
      </c>
      <c r="S31" s="126">
        <v>0</v>
      </c>
      <c r="T31" s="106">
        <v>6</v>
      </c>
      <c r="U31" s="127">
        <v>16</v>
      </c>
      <c r="V31" s="106">
        <v>0</v>
      </c>
      <c r="W31" s="106">
        <v>0</v>
      </c>
      <c r="X31" s="109">
        <v>14</v>
      </c>
    </row>
    <row r="32" spans="2:24" x14ac:dyDescent="0.25">
      <c r="B32">
        <v>20081212</v>
      </c>
      <c r="C32" s="103">
        <v>19547.5</v>
      </c>
      <c r="D32" s="108">
        <v>6458.8</v>
      </c>
      <c r="E32" s="114">
        <v>6.7001499999999999E-5</v>
      </c>
      <c r="F32" s="115">
        <v>6.8947899999999998E-5</v>
      </c>
      <c r="G32" s="132">
        <v>4.7867800000000003E-5</v>
      </c>
      <c r="H32" s="133">
        <v>5.1880199999999998E-5</v>
      </c>
      <c r="I32" s="132">
        <v>3.4037800000000001E-5</v>
      </c>
      <c r="J32" s="133">
        <v>4.3752799999999999E-5</v>
      </c>
      <c r="K32" s="115">
        <v>1.4725100000000001E-5</v>
      </c>
      <c r="L32" s="116">
        <v>3.3661200000000002E-5</v>
      </c>
      <c r="M32" s="105">
        <v>6</v>
      </c>
      <c r="N32" s="106">
        <v>11</v>
      </c>
      <c r="O32" s="106">
        <v>32</v>
      </c>
      <c r="P32" s="126">
        <v>1</v>
      </c>
      <c r="Q32" s="106">
        <v>0</v>
      </c>
      <c r="R32" s="127">
        <v>15</v>
      </c>
      <c r="S32" s="126">
        <v>0</v>
      </c>
      <c r="T32" s="106">
        <v>1</v>
      </c>
      <c r="U32" s="127">
        <v>9</v>
      </c>
      <c r="V32" s="106">
        <v>0</v>
      </c>
      <c r="W32" s="106">
        <v>1</v>
      </c>
      <c r="X32" s="109">
        <v>6</v>
      </c>
    </row>
    <row r="33" spans="1:24" x14ac:dyDescent="0.25">
      <c r="B33">
        <v>20090224</v>
      </c>
      <c r="C33" s="103">
        <v>4586.3</v>
      </c>
      <c r="D33" s="108">
        <v>4358.8</v>
      </c>
      <c r="E33" s="114">
        <v>6.2856500000000004E-5</v>
      </c>
      <c r="F33" s="115">
        <v>7.8079300000000003E-5</v>
      </c>
      <c r="G33" s="132">
        <v>5.2650700000000001E-5</v>
      </c>
      <c r="H33" s="133">
        <v>5.4394600000000003E-5</v>
      </c>
      <c r="I33" s="132">
        <v>4.2540200000000003E-5</v>
      </c>
      <c r="J33" s="133">
        <v>4.8473400000000002E-5</v>
      </c>
      <c r="K33" s="115">
        <v>3.15713E-5</v>
      </c>
      <c r="L33" s="116">
        <v>3.2917699999999998E-5</v>
      </c>
      <c r="M33" s="105">
        <v>0</v>
      </c>
      <c r="N33" s="106">
        <v>21</v>
      </c>
      <c r="O33" s="106">
        <v>21</v>
      </c>
      <c r="P33" s="126">
        <v>0</v>
      </c>
      <c r="Q33" s="106">
        <v>0</v>
      </c>
      <c r="R33" s="127">
        <v>13</v>
      </c>
      <c r="S33" s="126">
        <v>0</v>
      </c>
      <c r="T33" s="106">
        <v>1</v>
      </c>
      <c r="U33" s="127">
        <v>8</v>
      </c>
      <c r="V33" s="106">
        <v>0</v>
      </c>
      <c r="W33" s="106">
        <v>0</v>
      </c>
      <c r="X33" s="109">
        <v>5</v>
      </c>
    </row>
    <row r="34" spans="1:24" x14ac:dyDescent="0.25">
      <c r="B34">
        <v>20090639</v>
      </c>
      <c r="C34" s="103">
        <v>36246.300000000003</v>
      </c>
      <c r="D34" s="108">
        <v>7438.3</v>
      </c>
      <c r="E34" s="114">
        <v>8.6653199999999996E-6</v>
      </c>
      <c r="F34" s="115">
        <v>5.4104699999999997E-6</v>
      </c>
      <c r="G34" s="134">
        <v>1.9999999999999999E-7</v>
      </c>
      <c r="H34" s="135">
        <v>1.9999999999999999E-7</v>
      </c>
      <c r="I34" s="134">
        <v>1.9999999999999999E-7</v>
      </c>
      <c r="J34" s="135">
        <v>1.9999999999999999E-7</v>
      </c>
      <c r="K34" s="117">
        <v>1.9999999999999999E-7</v>
      </c>
      <c r="L34" s="118">
        <v>1.9999999999999999E-7</v>
      </c>
      <c r="M34" s="105">
        <v>14</v>
      </c>
      <c r="N34" s="106">
        <v>4</v>
      </c>
      <c r="O34" s="106">
        <v>6</v>
      </c>
      <c r="P34" s="126">
        <v>0</v>
      </c>
      <c r="Q34" s="106">
        <v>0</v>
      </c>
      <c r="R34" s="127">
        <v>0</v>
      </c>
      <c r="S34" s="126">
        <v>0</v>
      </c>
      <c r="T34" s="106">
        <v>0</v>
      </c>
      <c r="U34" s="127">
        <v>0</v>
      </c>
      <c r="V34" s="106">
        <v>0</v>
      </c>
      <c r="W34" s="106">
        <v>0</v>
      </c>
      <c r="X34" s="109">
        <v>0</v>
      </c>
    </row>
    <row r="35" spans="1:24" x14ac:dyDescent="0.25">
      <c r="B35">
        <v>20090816</v>
      </c>
      <c r="C35" s="103">
        <v>7820</v>
      </c>
      <c r="D35" s="108">
        <v>6471.4</v>
      </c>
      <c r="E35" s="114">
        <v>1.2860399999999999E-4</v>
      </c>
      <c r="F35" s="115">
        <v>1.5513500000000001E-4</v>
      </c>
      <c r="G35" s="132">
        <v>8.7824099999999998E-5</v>
      </c>
      <c r="H35" s="133">
        <v>9.3892200000000002E-5</v>
      </c>
      <c r="I35" s="132">
        <v>5.4708299999999999E-5</v>
      </c>
      <c r="J35" s="133">
        <v>6.3811600000000004E-5</v>
      </c>
      <c r="K35" s="115">
        <v>3.5521200000000001E-5</v>
      </c>
      <c r="L35" s="116">
        <v>4.2586100000000002E-5</v>
      </c>
      <c r="M35" s="105">
        <v>7</v>
      </c>
      <c r="N35" s="106">
        <v>53</v>
      </c>
      <c r="O35" s="106">
        <v>75</v>
      </c>
      <c r="P35" s="126">
        <v>3</v>
      </c>
      <c r="Q35" s="106">
        <v>2</v>
      </c>
      <c r="R35" s="127">
        <v>30</v>
      </c>
      <c r="S35" s="126">
        <v>2</v>
      </c>
      <c r="T35" s="106">
        <v>4</v>
      </c>
      <c r="U35" s="127">
        <v>10</v>
      </c>
      <c r="V35" s="106">
        <v>0</v>
      </c>
      <c r="W35" s="106">
        <v>1</v>
      </c>
      <c r="X35" s="109">
        <v>6</v>
      </c>
    </row>
    <row r="36" spans="1:24" x14ac:dyDescent="0.25">
      <c r="B36">
        <v>20091349</v>
      </c>
      <c r="C36" s="103">
        <v>42828.4</v>
      </c>
      <c r="D36" s="108">
        <v>7506.6</v>
      </c>
      <c r="E36" s="114">
        <v>2.63314E-5</v>
      </c>
      <c r="F36" s="115">
        <v>2.81468E-5</v>
      </c>
      <c r="G36" s="134">
        <v>1.9999999999999999E-7</v>
      </c>
      <c r="H36" s="136">
        <v>4.0792499999999999E-7</v>
      </c>
      <c r="I36" s="134">
        <v>1.9999999999999999E-7</v>
      </c>
      <c r="J36" s="135">
        <v>1.9999999999999999E-7</v>
      </c>
      <c r="K36" s="117">
        <v>1.9999999999999999E-7</v>
      </c>
      <c r="L36" s="118">
        <v>1.9999999999999999E-7</v>
      </c>
      <c r="M36" s="105">
        <v>46</v>
      </c>
      <c r="N36" s="106">
        <v>28</v>
      </c>
      <c r="O36" s="106">
        <v>28</v>
      </c>
      <c r="P36" s="126">
        <v>0</v>
      </c>
      <c r="Q36" s="106">
        <v>1</v>
      </c>
      <c r="R36" s="127">
        <v>0</v>
      </c>
      <c r="S36" s="126">
        <v>0</v>
      </c>
      <c r="T36" s="106">
        <v>0</v>
      </c>
      <c r="U36" s="127">
        <v>0</v>
      </c>
      <c r="V36" s="106">
        <v>0</v>
      </c>
      <c r="W36" s="106">
        <v>0</v>
      </c>
      <c r="X36" s="109">
        <v>0</v>
      </c>
    </row>
    <row r="37" spans="1:24" x14ac:dyDescent="0.25">
      <c r="B37">
        <v>20091939</v>
      </c>
      <c r="C37" s="103">
        <v>28958.3</v>
      </c>
      <c r="D37" s="108">
        <v>7416.2</v>
      </c>
      <c r="E37" s="114">
        <v>8.7222299999999993E-5</v>
      </c>
      <c r="F37" s="115">
        <v>9.9861199999999999E-5</v>
      </c>
      <c r="G37" s="132">
        <v>6.1254999999999995E-5</v>
      </c>
      <c r="H37" s="133">
        <v>6.6947700000000003E-5</v>
      </c>
      <c r="I37" s="132">
        <v>6.0771599999999999E-5</v>
      </c>
      <c r="J37" s="133">
        <v>6.3880499999999999E-5</v>
      </c>
      <c r="K37" s="115">
        <v>5.8520799999999997E-5</v>
      </c>
      <c r="L37" s="116">
        <v>6.3880499999999999E-5</v>
      </c>
      <c r="M37" s="105">
        <v>19</v>
      </c>
      <c r="N37" s="106">
        <v>19</v>
      </c>
      <c r="O37" s="106">
        <v>39</v>
      </c>
      <c r="P37" s="126">
        <v>0</v>
      </c>
      <c r="Q37" s="106">
        <v>1</v>
      </c>
      <c r="R37" s="127">
        <v>5</v>
      </c>
      <c r="S37" s="126">
        <v>0</v>
      </c>
      <c r="T37" s="106">
        <v>0</v>
      </c>
      <c r="U37" s="127">
        <v>4</v>
      </c>
      <c r="V37" s="106">
        <v>0</v>
      </c>
      <c r="W37" s="106">
        <v>1</v>
      </c>
      <c r="X37" s="109">
        <v>3</v>
      </c>
    </row>
    <row r="38" spans="1:24" x14ac:dyDescent="0.25">
      <c r="B38">
        <v>20091940</v>
      </c>
      <c r="C38" s="103">
        <v>22700.400000000001</v>
      </c>
      <c r="D38" s="108">
        <v>6252.6</v>
      </c>
      <c r="E38" s="114">
        <v>2.8443099999999997E-4</v>
      </c>
      <c r="F38" s="115">
        <v>3.20704E-4</v>
      </c>
      <c r="G38" s="132">
        <v>2.6477599999999999E-4</v>
      </c>
      <c r="H38" s="133">
        <v>3.0328400000000002E-4</v>
      </c>
      <c r="I38" s="132">
        <v>2.5937999999999997E-4</v>
      </c>
      <c r="J38" s="133">
        <v>2.94679E-4</v>
      </c>
      <c r="K38" s="115">
        <v>2.1486500000000001E-4</v>
      </c>
      <c r="L38" s="116">
        <v>2.6046700000000001E-4</v>
      </c>
      <c r="M38" s="105">
        <v>13</v>
      </c>
      <c r="N38" s="106">
        <v>11</v>
      </c>
      <c r="O38" s="106">
        <v>37</v>
      </c>
      <c r="P38" s="126">
        <v>1</v>
      </c>
      <c r="Q38" s="106">
        <v>2</v>
      </c>
      <c r="R38" s="127">
        <v>21</v>
      </c>
      <c r="S38" s="126">
        <v>1</v>
      </c>
      <c r="T38" s="106">
        <v>0</v>
      </c>
      <c r="U38" s="127">
        <v>19</v>
      </c>
      <c r="V38" s="106">
        <v>0</v>
      </c>
      <c r="W38" s="106">
        <v>2</v>
      </c>
      <c r="X38" s="109">
        <v>6</v>
      </c>
    </row>
    <row r="39" spans="1:24" x14ac:dyDescent="0.25">
      <c r="C39" s="105"/>
      <c r="D39" s="109"/>
      <c r="E39" s="105"/>
      <c r="F39" s="106"/>
      <c r="G39" s="126"/>
      <c r="H39" s="127"/>
      <c r="I39" s="126"/>
      <c r="J39" s="127"/>
      <c r="K39" s="106"/>
      <c r="L39" s="109"/>
      <c r="M39" s="105"/>
      <c r="N39" s="106"/>
      <c r="O39" s="106"/>
      <c r="P39" s="126"/>
      <c r="Q39" s="106"/>
      <c r="R39" s="127"/>
      <c r="S39" s="126"/>
      <c r="T39" s="106"/>
      <c r="U39" s="127"/>
      <c r="V39" s="106"/>
      <c r="W39" s="106"/>
      <c r="X39" s="109"/>
    </row>
    <row r="40" spans="1:24" x14ac:dyDescent="0.25">
      <c r="A40" t="s">
        <v>1092</v>
      </c>
      <c r="B40">
        <v>20080194</v>
      </c>
      <c r="C40" s="103">
        <v>28946.2</v>
      </c>
      <c r="D40" s="108">
        <v>6780.4</v>
      </c>
      <c r="E40" s="114">
        <v>1.21233E-4</v>
      </c>
      <c r="F40" s="115">
        <v>1.5039900000000001E-4</v>
      </c>
      <c r="G40" s="132">
        <v>8.0083199999999999E-5</v>
      </c>
      <c r="H40" s="133">
        <v>1.07502E-4</v>
      </c>
      <c r="I40" s="132">
        <v>5.1789999999999997E-5</v>
      </c>
      <c r="J40" s="133">
        <v>9.0070900000000005E-5</v>
      </c>
      <c r="K40" s="115">
        <v>2.8490600000000001E-5</v>
      </c>
      <c r="L40" s="116">
        <v>5.9420899999999999E-5</v>
      </c>
      <c r="M40" s="105">
        <v>15</v>
      </c>
      <c r="N40" s="106">
        <v>19</v>
      </c>
      <c r="O40" s="106">
        <v>76</v>
      </c>
      <c r="P40" s="126">
        <v>8</v>
      </c>
      <c r="Q40" s="106">
        <v>7</v>
      </c>
      <c r="R40" s="127">
        <v>28</v>
      </c>
      <c r="S40" s="126">
        <v>2</v>
      </c>
      <c r="T40" s="106">
        <v>6</v>
      </c>
      <c r="U40" s="127">
        <v>17</v>
      </c>
      <c r="V40" s="106">
        <v>2</v>
      </c>
      <c r="W40" s="106">
        <v>4</v>
      </c>
      <c r="X40" s="109">
        <v>6</v>
      </c>
    </row>
    <row r="41" spans="1:24" x14ac:dyDescent="0.25">
      <c r="B41">
        <v>20080341</v>
      </c>
      <c r="C41" s="103">
        <v>3197.3</v>
      </c>
      <c r="D41" s="108">
        <v>2751.8</v>
      </c>
      <c r="E41" s="114">
        <v>8.5240499999999998E-4</v>
      </c>
      <c r="F41" s="115">
        <v>9.4251100000000004E-4</v>
      </c>
      <c r="G41" s="132">
        <v>8.4938099999999996E-4</v>
      </c>
      <c r="H41" s="133">
        <v>9.2558600000000005E-4</v>
      </c>
      <c r="I41" s="132">
        <v>8.3041799999999998E-4</v>
      </c>
      <c r="J41" s="133">
        <v>9.08981E-4</v>
      </c>
      <c r="K41" s="115">
        <v>8.0389600000000002E-4</v>
      </c>
      <c r="L41" s="116">
        <v>8.8694700000000002E-4</v>
      </c>
      <c r="M41" s="105">
        <v>6</v>
      </c>
      <c r="N41" s="106">
        <v>36</v>
      </c>
      <c r="O41" s="106">
        <v>40</v>
      </c>
      <c r="P41" s="126">
        <v>7</v>
      </c>
      <c r="Q41" s="106">
        <v>25</v>
      </c>
      <c r="R41" s="127">
        <v>37</v>
      </c>
      <c r="S41" s="126">
        <v>6</v>
      </c>
      <c r="T41" s="106">
        <v>23</v>
      </c>
      <c r="U41" s="127">
        <v>30</v>
      </c>
      <c r="V41" s="106">
        <v>3</v>
      </c>
      <c r="W41" s="106">
        <v>18</v>
      </c>
      <c r="X41" s="109">
        <v>27</v>
      </c>
    </row>
    <row r="42" spans="1:24" x14ac:dyDescent="0.25">
      <c r="B42">
        <v>20080684</v>
      </c>
      <c r="C42" s="103">
        <v>4172.2</v>
      </c>
      <c r="D42" s="108">
        <v>3885</v>
      </c>
      <c r="E42" s="114">
        <v>3.12102E-3</v>
      </c>
      <c r="F42" s="115">
        <v>2.62781E-3</v>
      </c>
      <c r="G42" s="132">
        <v>3.12102E-3</v>
      </c>
      <c r="H42" s="133">
        <v>2.6234000000000001E-3</v>
      </c>
      <c r="I42" s="132">
        <v>3.1037500000000002E-3</v>
      </c>
      <c r="J42" s="133">
        <v>2.6064399999999998E-3</v>
      </c>
      <c r="K42" s="115">
        <v>3.0979599999999999E-3</v>
      </c>
      <c r="L42" s="116">
        <v>2.6003300000000001E-3</v>
      </c>
      <c r="M42" s="105">
        <v>2</v>
      </c>
      <c r="N42" s="106">
        <v>9</v>
      </c>
      <c r="O42" s="106">
        <v>31</v>
      </c>
      <c r="P42" s="126">
        <v>2</v>
      </c>
      <c r="Q42" s="106">
        <v>3</v>
      </c>
      <c r="R42" s="127">
        <v>31</v>
      </c>
      <c r="S42" s="126">
        <v>2</v>
      </c>
      <c r="T42" s="106">
        <v>3</v>
      </c>
      <c r="U42" s="127">
        <v>23</v>
      </c>
      <c r="V42" s="106">
        <v>2</v>
      </c>
      <c r="W42" s="106">
        <v>3</v>
      </c>
      <c r="X42" s="109">
        <v>18</v>
      </c>
    </row>
    <row r="43" spans="1:24" x14ac:dyDescent="0.25">
      <c r="B43">
        <v>20080698</v>
      </c>
      <c r="C43" s="103">
        <v>1178.7</v>
      </c>
      <c r="D43" s="108">
        <v>1173</v>
      </c>
      <c r="E43" s="114">
        <v>1.4426200000000001E-4</v>
      </c>
      <c r="F43" s="115">
        <v>1.5619000000000001E-4</v>
      </c>
      <c r="G43" s="132">
        <v>1.4128E-4</v>
      </c>
      <c r="H43" s="133">
        <v>1.4794999999999999E-4</v>
      </c>
      <c r="I43" s="132">
        <v>1.34943E-4</v>
      </c>
      <c r="J43" s="133">
        <v>1.41583E-4</v>
      </c>
      <c r="K43" s="115">
        <v>1.34943E-4</v>
      </c>
      <c r="L43" s="116">
        <v>1.41583E-4</v>
      </c>
      <c r="M43" s="105">
        <v>0</v>
      </c>
      <c r="N43" s="106">
        <v>12</v>
      </c>
      <c r="O43" s="106">
        <v>13</v>
      </c>
      <c r="P43" s="126">
        <v>0</v>
      </c>
      <c r="Q43" s="106">
        <v>9</v>
      </c>
      <c r="R43" s="127">
        <v>12</v>
      </c>
      <c r="S43" s="126">
        <v>0</v>
      </c>
      <c r="T43" s="106">
        <v>9</v>
      </c>
      <c r="U43" s="127">
        <v>10</v>
      </c>
      <c r="V43" s="106">
        <v>0</v>
      </c>
      <c r="W43" s="106">
        <v>9</v>
      </c>
      <c r="X43" s="109">
        <v>10</v>
      </c>
    </row>
    <row r="44" spans="1:24" x14ac:dyDescent="0.25">
      <c r="B44">
        <v>20080719</v>
      </c>
      <c r="C44" s="103">
        <v>11572.9</v>
      </c>
      <c r="D44" s="108">
        <v>4675.8</v>
      </c>
      <c r="E44" s="114">
        <v>1.64351E-4</v>
      </c>
      <c r="F44" s="115">
        <v>1.70736E-4</v>
      </c>
      <c r="G44" s="132">
        <v>1.53986E-4</v>
      </c>
      <c r="H44" s="133">
        <v>1.63406E-4</v>
      </c>
      <c r="I44" s="132">
        <v>1.4449499999999999E-4</v>
      </c>
      <c r="J44" s="133">
        <v>1.4677399999999999E-4</v>
      </c>
      <c r="K44" s="115">
        <v>9.1609799999999998E-5</v>
      </c>
      <c r="L44" s="116">
        <v>1.0993999999999999E-4</v>
      </c>
      <c r="M44" s="105">
        <v>5</v>
      </c>
      <c r="N44" s="106">
        <v>2</v>
      </c>
      <c r="O44" s="106">
        <v>29</v>
      </c>
      <c r="P44" s="126">
        <v>2</v>
      </c>
      <c r="Q44" s="106">
        <v>3</v>
      </c>
      <c r="R44" s="127">
        <v>22</v>
      </c>
      <c r="S44" s="126">
        <v>4</v>
      </c>
      <c r="T44" s="106">
        <v>2</v>
      </c>
      <c r="U44" s="127">
        <v>16</v>
      </c>
      <c r="V44" s="106">
        <v>1</v>
      </c>
      <c r="W44" s="106">
        <v>2</v>
      </c>
      <c r="X44" s="109">
        <v>9</v>
      </c>
    </row>
    <row r="45" spans="1:24" x14ac:dyDescent="0.25">
      <c r="B45">
        <v>20080832</v>
      </c>
      <c r="C45" s="103">
        <v>11619</v>
      </c>
      <c r="D45" s="108">
        <v>4631.3</v>
      </c>
      <c r="E45" s="114">
        <v>3.34469E-4</v>
      </c>
      <c r="F45" s="115">
        <v>2.2834999999999999E-4</v>
      </c>
      <c r="G45" s="132">
        <v>2.98848E-4</v>
      </c>
      <c r="H45" s="133">
        <v>1.94861E-4</v>
      </c>
      <c r="I45" s="132">
        <v>2.9442299999999998E-4</v>
      </c>
      <c r="J45" s="133">
        <v>1.87651E-4</v>
      </c>
      <c r="K45" s="115">
        <v>2.9442299999999998E-4</v>
      </c>
      <c r="L45" s="116">
        <v>1.87651E-4</v>
      </c>
      <c r="M45" s="105">
        <v>7</v>
      </c>
      <c r="N45" s="106">
        <v>11</v>
      </c>
      <c r="O45" s="106">
        <v>30</v>
      </c>
      <c r="P45" s="126">
        <v>2</v>
      </c>
      <c r="Q45" s="106">
        <v>1</v>
      </c>
      <c r="R45" s="127">
        <v>7</v>
      </c>
      <c r="S45" s="126">
        <v>0</v>
      </c>
      <c r="T45" s="106">
        <v>0</v>
      </c>
      <c r="U45" s="127">
        <v>2</v>
      </c>
      <c r="V45" s="106">
        <v>0</v>
      </c>
      <c r="W45" s="106">
        <v>0</v>
      </c>
      <c r="X45" s="109">
        <v>2</v>
      </c>
    </row>
    <row r="46" spans="1:24" x14ac:dyDescent="0.25">
      <c r="B46">
        <v>20080857</v>
      </c>
      <c r="C46" s="103">
        <v>2794.3</v>
      </c>
      <c r="D46" s="108">
        <v>2785.4</v>
      </c>
      <c r="E46" s="114">
        <v>1.05505E-4</v>
      </c>
      <c r="F46" s="115">
        <v>1.0820899999999999E-4</v>
      </c>
      <c r="G46" s="132">
        <v>1.02203E-4</v>
      </c>
      <c r="H46" s="133">
        <v>1.03319E-4</v>
      </c>
      <c r="I46" s="132">
        <v>9.89007E-5</v>
      </c>
      <c r="J46" s="133">
        <v>9.8586599999999996E-5</v>
      </c>
      <c r="K46" s="115">
        <v>9.0409999999999997E-5</v>
      </c>
      <c r="L46" s="116">
        <v>9.0226400000000001E-5</v>
      </c>
      <c r="M46" s="105">
        <v>0</v>
      </c>
      <c r="N46" s="106">
        <v>5</v>
      </c>
      <c r="O46" s="106">
        <v>21</v>
      </c>
      <c r="P46" s="126">
        <v>0</v>
      </c>
      <c r="Q46" s="106">
        <v>3</v>
      </c>
      <c r="R46" s="127">
        <v>19</v>
      </c>
      <c r="S46" s="126">
        <v>0</v>
      </c>
      <c r="T46" s="106">
        <v>1</v>
      </c>
      <c r="U46" s="127">
        <v>18</v>
      </c>
      <c r="V46" s="106">
        <v>0</v>
      </c>
      <c r="W46" s="106">
        <v>1</v>
      </c>
      <c r="X46" s="109">
        <v>16</v>
      </c>
    </row>
    <row r="47" spans="1:24" x14ac:dyDescent="0.25">
      <c r="B47">
        <v>20080860</v>
      </c>
      <c r="C47" s="103">
        <v>4251.5</v>
      </c>
      <c r="D47" s="108">
        <v>4088</v>
      </c>
      <c r="E47" s="114">
        <v>2.77993E-5</v>
      </c>
      <c r="F47" s="115">
        <v>3.4715000000000002E-5</v>
      </c>
      <c r="G47" s="132">
        <v>9.1975499999999997E-6</v>
      </c>
      <c r="H47" s="133">
        <v>1.1715E-5</v>
      </c>
      <c r="I47" s="132">
        <v>4.7537900000000003E-6</v>
      </c>
      <c r="J47" s="133">
        <v>5.0514100000000003E-6</v>
      </c>
      <c r="K47" s="115">
        <v>2.9969500000000002E-6</v>
      </c>
      <c r="L47" s="116">
        <v>4.1915999999999998E-6</v>
      </c>
      <c r="M47" s="105">
        <v>1</v>
      </c>
      <c r="N47" s="106">
        <v>22</v>
      </c>
      <c r="O47" s="106">
        <v>18</v>
      </c>
      <c r="P47" s="126">
        <v>0</v>
      </c>
      <c r="Q47" s="106">
        <v>10</v>
      </c>
      <c r="R47" s="127">
        <v>7</v>
      </c>
      <c r="S47" s="126">
        <v>1</v>
      </c>
      <c r="T47" s="106">
        <v>6</v>
      </c>
      <c r="U47" s="127">
        <v>3</v>
      </c>
      <c r="V47" s="106">
        <v>0</v>
      </c>
      <c r="W47" s="106">
        <v>5</v>
      </c>
      <c r="X47" s="109">
        <v>2</v>
      </c>
    </row>
    <row r="48" spans="1:24" x14ac:dyDescent="0.25">
      <c r="B48">
        <v>20080867</v>
      </c>
      <c r="C48" s="103">
        <v>898</v>
      </c>
      <c r="D48" s="108">
        <v>895.4</v>
      </c>
      <c r="E48" s="114">
        <v>1.86812E-3</v>
      </c>
      <c r="F48" s="115">
        <v>1.90438E-3</v>
      </c>
      <c r="G48" s="132">
        <v>1.86812E-3</v>
      </c>
      <c r="H48" s="133">
        <v>1.88083E-3</v>
      </c>
      <c r="I48" s="132">
        <v>1.86812E-3</v>
      </c>
      <c r="J48" s="133">
        <v>1.8793600000000001E-3</v>
      </c>
      <c r="K48" s="115">
        <v>1.86421E-3</v>
      </c>
      <c r="L48" s="116">
        <v>1.87199E-3</v>
      </c>
      <c r="M48" s="105">
        <v>0</v>
      </c>
      <c r="N48" s="106">
        <v>21</v>
      </c>
      <c r="O48" s="106">
        <v>71</v>
      </c>
      <c r="P48" s="126">
        <v>0</v>
      </c>
      <c r="Q48" s="106">
        <v>11</v>
      </c>
      <c r="R48" s="127">
        <v>71</v>
      </c>
      <c r="S48" s="126">
        <v>0</v>
      </c>
      <c r="T48" s="106">
        <v>10</v>
      </c>
      <c r="U48" s="127">
        <v>71</v>
      </c>
      <c r="V48" s="106">
        <v>0</v>
      </c>
      <c r="W48" s="106">
        <v>8</v>
      </c>
      <c r="X48" s="109">
        <v>70</v>
      </c>
    </row>
    <row r="49" spans="2:24" x14ac:dyDescent="0.25">
      <c r="B49">
        <v>20080869</v>
      </c>
      <c r="C49" s="103">
        <v>10988.7</v>
      </c>
      <c r="D49" s="108">
        <v>5110.8999999999996</v>
      </c>
      <c r="E49" s="114">
        <v>3.0035600000000002E-3</v>
      </c>
      <c r="F49" s="115">
        <v>1.9553000000000001E-3</v>
      </c>
      <c r="G49" s="132">
        <v>2.98913E-3</v>
      </c>
      <c r="H49" s="133">
        <v>1.9341499999999999E-3</v>
      </c>
      <c r="I49" s="132">
        <v>2.97861E-3</v>
      </c>
      <c r="J49" s="133">
        <v>1.91782E-3</v>
      </c>
      <c r="K49" s="115">
        <v>2.9753700000000002E-3</v>
      </c>
      <c r="L49" s="116">
        <v>1.91069E-3</v>
      </c>
      <c r="M49" s="105">
        <v>9</v>
      </c>
      <c r="N49" s="106">
        <v>19</v>
      </c>
      <c r="O49" s="106">
        <v>44</v>
      </c>
      <c r="P49" s="126">
        <v>4</v>
      </c>
      <c r="Q49" s="106">
        <v>2</v>
      </c>
      <c r="R49" s="127">
        <v>30</v>
      </c>
      <c r="S49" s="126">
        <v>4</v>
      </c>
      <c r="T49" s="106">
        <v>1</v>
      </c>
      <c r="U49" s="127">
        <v>19</v>
      </c>
      <c r="V49" s="106">
        <v>4</v>
      </c>
      <c r="W49" s="106">
        <v>0</v>
      </c>
      <c r="X49" s="109">
        <v>16</v>
      </c>
    </row>
    <row r="50" spans="2:24" x14ac:dyDescent="0.25">
      <c r="B50">
        <v>20080933</v>
      </c>
      <c r="C50" s="103">
        <v>19077</v>
      </c>
      <c r="D50" s="108">
        <v>4901.1000000000004</v>
      </c>
      <c r="E50" s="114">
        <v>6.9282700000000003E-4</v>
      </c>
      <c r="F50" s="115">
        <v>6.5881399999999997E-4</v>
      </c>
      <c r="G50" s="132">
        <v>6.7801700000000005E-4</v>
      </c>
      <c r="H50" s="133">
        <v>6.45905E-4</v>
      </c>
      <c r="I50" s="132">
        <v>6.7693500000000004E-4</v>
      </c>
      <c r="J50" s="133">
        <v>6.4142300000000001E-4</v>
      </c>
      <c r="K50" s="115">
        <v>6.6878200000000004E-4</v>
      </c>
      <c r="L50" s="116">
        <v>6.4007799999999998E-4</v>
      </c>
      <c r="M50" s="105">
        <v>11</v>
      </c>
      <c r="N50" s="106">
        <v>12</v>
      </c>
      <c r="O50" s="106">
        <v>35</v>
      </c>
      <c r="P50" s="126">
        <v>2</v>
      </c>
      <c r="Q50" s="106">
        <v>2</v>
      </c>
      <c r="R50" s="127">
        <v>25</v>
      </c>
      <c r="S50" s="126">
        <v>2</v>
      </c>
      <c r="T50" s="106">
        <v>1</v>
      </c>
      <c r="U50" s="127">
        <v>23</v>
      </c>
      <c r="V50" s="106">
        <v>2</v>
      </c>
      <c r="W50" s="106">
        <v>2</v>
      </c>
      <c r="X50" s="109">
        <v>21</v>
      </c>
    </row>
    <row r="51" spans="2:24" x14ac:dyDescent="0.25">
      <c r="B51">
        <v>20080980</v>
      </c>
      <c r="C51" s="103">
        <v>9121</v>
      </c>
      <c r="D51" s="108">
        <v>5115.3999999999996</v>
      </c>
      <c r="E51" s="114">
        <v>4.5762300000000001E-5</v>
      </c>
      <c r="F51" s="115">
        <v>5.9437200000000001E-5</v>
      </c>
      <c r="G51" s="132">
        <v>3.6513500000000002E-5</v>
      </c>
      <c r="H51" s="133">
        <v>4.99032E-5</v>
      </c>
      <c r="I51" s="132">
        <v>3.5116500000000002E-5</v>
      </c>
      <c r="J51" s="133">
        <v>4.7755900000000001E-5</v>
      </c>
      <c r="K51" s="115">
        <v>1.9605500000000001E-5</v>
      </c>
      <c r="L51" s="116">
        <v>3.3755499999999999E-5</v>
      </c>
      <c r="M51" s="105">
        <v>1</v>
      </c>
      <c r="N51" s="106">
        <v>6</v>
      </c>
      <c r="O51" s="106">
        <v>19</v>
      </c>
      <c r="P51" s="126">
        <v>2</v>
      </c>
      <c r="Q51" s="106">
        <v>2</v>
      </c>
      <c r="R51" s="127">
        <v>10</v>
      </c>
      <c r="S51" s="126">
        <v>0</v>
      </c>
      <c r="T51" s="106">
        <v>1</v>
      </c>
      <c r="U51" s="127">
        <v>10</v>
      </c>
      <c r="V51" s="106">
        <v>0</v>
      </c>
      <c r="W51" s="106">
        <v>1</v>
      </c>
      <c r="X51" s="109">
        <v>7</v>
      </c>
    </row>
    <row r="52" spans="2:24" x14ac:dyDescent="0.25">
      <c r="B52">
        <v>20081042</v>
      </c>
      <c r="C52" s="103">
        <v>7469</v>
      </c>
      <c r="D52" s="108">
        <v>5357.2</v>
      </c>
      <c r="E52" s="114">
        <v>9.1767100000000004E-6</v>
      </c>
      <c r="F52" s="115">
        <v>1.5992900000000001E-5</v>
      </c>
      <c r="G52" s="132">
        <v>2.8824300000000001E-6</v>
      </c>
      <c r="H52" s="133">
        <v>4.2647699999999998E-6</v>
      </c>
      <c r="I52" s="132">
        <v>1.52945E-6</v>
      </c>
      <c r="J52" s="133">
        <v>2.54246E-6</v>
      </c>
      <c r="K52" s="121">
        <v>6.4707599999999999E-7</v>
      </c>
      <c r="L52" s="116">
        <v>1.39425E-6</v>
      </c>
      <c r="M52" s="105">
        <v>0</v>
      </c>
      <c r="N52" s="106">
        <v>13</v>
      </c>
      <c r="O52" s="106">
        <v>13</v>
      </c>
      <c r="P52" s="126">
        <v>0</v>
      </c>
      <c r="Q52" s="106">
        <v>3</v>
      </c>
      <c r="R52" s="127">
        <v>6</v>
      </c>
      <c r="S52" s="126">
        <v>0</v>
      </c>
      <c r="T52" s="106">
        <v>3</v>
      </c>
      <c r="U52" s="127">
        <v>4</v>
      </c>
      <c r="V52" s="106">
        <v>0</v>
      </c>
      <c r="W52" s="106">
        <v>3</v>
      </c>
      <c r="X52" s="109">
        <v>2</v>
      </c>
    </row>
    <row r="53" spans="2:24" x14ac:dyDescent="0.25">
      <c r="B53">
        <v>20081054</v>
      </c>
      <c r="C53" s="103">
        <v>9871.2999999999993</v>
      </c>
      <c r="D53" s="108">
        <v>4495.1000000000004</v>
      </c>
      <c r="E53" s="114">
        <v>4.0859799999999998E-5</v>
      </c>
      <c r="F53" s="115">
        <v>4.6428499999999998E-5</v>
      </c>
      <c r="G53" s="132">
        <v>3.2981600000000003E-5</v>
      </c>
      <c r="H53" s="133">
        <v>2.88346E-5</v>
      </c>
      <c r="I53" s="132">
        <v>1.3797999999999999E-6</v>
      </c>
      <c r="J53" s="133">
        <v>1.45639E-5</v>
      </c>
      <c r="K53" s="115">
        <v>7.1215400000000004E-7</v>
      </c>
      <c r="L53" s="116">
        <v>1.56391E-6</v>
      </c>
      <c r="M53" s="105">
        <v>3</v>
      </c>
      <c r="N53" s="106">
        <v>12</v>
      </c>
      <c r="O53" s="106">
        <v>22</v>
      </c>
      <c r="P53" s="126">
        <v>4</v>
      </c>
      <c r="Q53" s="106">
        <v>4</v>
      </c>
      <c r="R53" s="127">
        <v>12</v>
      </c>
      <c r="S53" s="126">
        <v>0</v>
      </c>
      <c r="T53" s="106">
        <v>6</v>
      </c>
      <c r="U53" s="127">
        <v>2</v>
      </c>
      <c r="V53" s="106">
        <v>0</v>
      </c>
      <c r="W53" s="106">
        <v>0</v>
      </c>
      <c r="X53" s="109">
        <v>1</v>
      </c>
    </row>
    <row r="54" spans="2:24" x14ac:dyDescent="0.25">
      <c r="B54">
        <v>20081084</v>
      </c>
      <c r="C54" s="103">
        <v>1677.9</v>
      </c>
      <c r="D54" s="108">
        <v>1665.6</v>
      </c>
      <c r="E54" s="114">
        <v>3.02309E-3</v>
      </c>
      <c r="F54" s="115">
        <v>2.91494E-3</v>
      </c>
      <c r="G54" s="132">
        <v>3.02309E-3</v>
      </c>
      <c r="H54" s="133">
        <v>2.9138800000000002E-3</v>
      </c>
      <c r="I54" s="132">
        <v>3.02309E-3</v>
      </c>
      <c r="J54" s="133">
        <v>2.90808E-3</v>
      </c>
      <c r="K54" s="115">
        <v>3.01367E-3</v>
      </c>
      <c r="L54" s="116">
        <v>2.8959400000000001E-3</v>
      </c>
      <c r="M54" s="105">
        <v>1</v>
      </c>
      <c r="N54" s="106">
        <v>25</v>
      </c>
      <c r="O54" s="106">
        <v>26</v>
      </c>
      <c r="P54" s="126">
        <v>1</v>
      </c>
      <c r="Q54" s="106">
        <v>24</v>
      </c>
      <c r="R54" s="127">
        <v>26</v>
      </c>
      <c r="S54" s="126">
        <v>1</v>
      </c>
      <c r="T54" s="106">
        <v>19</v>
      </c>
      <c r="U54" s="127">
        <v>26</v>
      </c>
      <c r="V54" s="106">
        <v>1</v>
      </c>
      <c r="W54" s="106">
        <v>16</v>
      </c>
      <c r="X54" s="109">
        <v>22</v>
      </c>
    </row>
    <row r="55" spans="2:24" x14ac:dyDescent="0.25">
      <c r="B55">
        <v>20081149</v>
      </c>
      <c r="C55" s="103">
        <v>40554.6</v>
      </c>
      <c r="D55" s="108">
        <v>7688.4</v>
      </c>
      <c r="E55" s="114">
        <v>6.1157799999999999E-5</v>
      </c>
      <c r="F55" s="115">
        <v>6.48048E-5</v>
      </c>
      <c r="G55" s="132">
        <v>1.6966E-5</v>
      </c>
      <c r="H55" s="133">
        <v>1.6972700000000001E-5</v>
      </c>
      <c r="I55" s="132">
        <v>1.26108E-5</v>
      </c>
      <c r="J55" s="133">
        <v>1.29152E-5</v>
      </c>
      <c r="K55" s="115">
        <v>1.26108E-5</v>
      </c>
      <c r="L55" s="116">
        <v>8.8006500000000002E-6</v>
      </c>
      <c r="M55" s="105">
        <v>17</v>
      </c>
      <c r="N55" s="106">
        <v>8</v>
      </c>
      <c r="O55" s="106">
        <v>69</v>
      </c>
      <c r="P55" s="126">
        <v>0</v>
      </c>
      <c r="Q55" s="106">
        <v>0</v>
      </c>
      <c r="R55" s="127">
        <v>5</v>
      </c>
      <c r="S55" s="126">
        <v>0</v>
      </c>
      <c r="T55" s="106">
        <v>0</v>
      </c>
      <c r="U55" s="127">
        <v>3</v>
      </c>
      <c r="V55" s="106">
        <v>1</v>
      </c>
      <c r="W55" s="106">
        <v>0</v>
      </c>
      <c r="X55" s="109">
        <v>2</v>
      </c>
    </row>
    <row r="56" spans="2:24" x14ac:dyDescent="0.25">
      <c r="B56">
        <v>20081154</v>
      </c>
      <c r="C56" s="103">
        <v>25272.1</v>
      </c>
      <c r="D56" s="108">
        <v>6633.4</v>
      </c>
      <c r="E56" s="114">
        <v>9.6767600000000005E-5</v>
      </c>
      <c r="F56" s="115">
        <v>1.3955900000000001E-4</v>
      </c>
      <c r="G56" s="132">
        <v>5.46252E-5</v>
      </c>
      <c r="H56" s="133">
        <v>9.4584899999999996E-5</v>
      </c>
      <c r="I56" s="132">
        <v>4.0525599999999997E-5</v>
      </c>
      <c r="J56" s="133">
        <v>7.8423299999999998E-5</v>
      </c>
      <c r="K56" s="115">
        <v>3.4249399999999998E-5</v>
      </c>
      <c r="L56" s="116">
        <v>7.0673700000000001E-5</v>
      </c>
      <c r="M56" s="105">
        <v>19</v>
      </c>
      <c r="N56" s="106">
        <v>15</v>
      </c>
      <c r="O56" s="106">
        <v>74</v>
      </c>
      <c r="P56" s="126">
        <v>4</v>
      </c>
      <c r="Q56" s="106">
        <v>4</v>
      </c>
      <c r="R56" s="127">
        <v>20</v>
      </c>
      <c r="S56" s="126">
        <v>1</v>
      </c>
      <c r="T56" s="106">
        <v>1</v>
      </c>
      <c r="U56" s="127">
        <v>12</v>
      </c>
      <c r="V56" s="106">
        <v>2</v>
      </c>
      <c r="W56" s="106">
        <v>3</v>
      </c>
      <c r="X56" s="109">
        <v>4</v>
      </c>
    </row>
    <row r="57" spans="2:24" x14ac:dyDescent="0.25">
      <c r="B57">
        <v>20081164</v>
      </c>
      <c r="C57" s="103">
        <v>9423.2000000000007</v>
      </c>
      <c r="D57" s="108">
        <v>3871.6</v>
      </c>
      <c r="E57" s="114">
        <v>2.04456E-4</v>
      </c>
      <c r="F57" s="115">
        <v>3.1980000000000002E-4</v>
      </c>
      <c r="G57" s="132">
        <v>1.6487000000000001E-4</v>
      </c>
      <c r="H57" s="133">
        <v>2.9789699999999998E-4</v>
      </c>
      <c r="I57" s="132">
        <v>1.5111599999999999E-4</v>
      </c>
      <c r="J57" s="133">
        <v>2.5976699999999999E-4</v>
      </c>
      <c r="K57" s="115">
        <v>1.04116E-4</v>
      </c>
      <c r="L57" s="116">
        <v>1.9281100000000001E-4</v>
      </c>
      <c r="M57" s="105">
        <v>12</v>
      </c>
      <c r="N57" s="106">
        <v>20</v>
      </c>
      <c r="O57" s="106">
        <v>45</v>
      </c>
      <c r="P57" s="126">
        <v>5</v>
      </c>
      <c r="Q57" s="106">
        <v>14</v>
      </c>
      <c r="R57" s="127">
        <v>26</v>
      </c>
      <c r="S57" s="126">
        <v>3</v>
      </c>
      <c r="T57" s="106">
        <v>5</v>
      </c>
      <c r="U57" s="127">
        <v>18</v>
      </c>
      <c r="V57" s="106">
        <v>1</v>
      </c>
      <c r="W57" s="106">
        <v>4</v>
      </c>
      <c r="X57" s="109">
        <v>9</v>
      </c>
    </row>
    <row r="58" spans="2:24" x14ac:dyDescent="0.25">
      <c r="B58">
        <v>20081170</v>
      </c>
      <c r="C58" s="103">
        <v>77725.8</v>
      </c>
      <c r="D58" s="108">
        <v>7708.3</v>
      </c>
      <c r="E58" s="114">
        <v>6.3215100000000004E-5</v>
      </c>
      <c r="F58" s="115">
        <v>4.7195399999999999E-5</v>
      </c>
      <c r="G58" s="132">
        <v>8.9314000000000006E-6</v>
      </c>
      <c r="H58" s="133">
        <v>3.3059599999999999E-6</v>
      </c>
      <c r="I58" s="132">
        <v>3.8608499999999996E-6</v>
      </c>
      <c r="J58" s="135">
        <v>1.9999999999999999E-7</v>
      </c>
      <c r="K58" s="117">
        <v>1.9999999999999999E-7</v>
      </c>
      <c r="L58" s="118">
        <v>1.9999999999999999E-7</v>
      </c>
      <c r="M58" s="105">
        <v>55</v>
      </c>
      <c r="N58" s="106">
        <v>4</v>
      </c>
      <c r="O58" s="106">
        <v>57</v>
      </c>
      <c r="P58" s="126">
        <v>3</v>
      </c>
      <c r="Q58" s="106">
        <v>1</v>
      </c>
      <c r="R58" s="127">
        <v>1</v>
      </c>
      <c r="S58" s="126">
        <v>1</v>
      </c>
      <c r="T58" s="106">
        <v>0</v>
      </c>
      <c r="U58" s="127">
        <v>0</v>
      </c>
      <c r="V58" s="106">
        <v>0</v>
      </c>
      <c r="W58" s="106">
        <v>0</v>
      </c>
      <c r="X58" s="109">
        <v>0</v>
      </c>
    </row>
    <row r="59" spans="2:24" x14ac:dyDescent="0.25">
      <c r="B59">
        <v>20081207</v>
      </c>
      <c r="C59" s="103">
        <v>15258.5</v>
      </c>
      <c r="D59" s="108">
        <v>6159.1</v>
      </c>
      <c r="E59" s="114">
        <v>6.6919499999999995E-5</v>
      </c>
      <c r="F59" s="115">
        <v>5.38589E-5</v>
      </c>
      <c r="G59" s="132">
        <v>5.1226300000000001E-5</v>
      </c>
      <c r="H59" s="133">
        <v>4.1303700000000002E-5</v>
      </c>
      <c r="I59" s="132">
        <v>3.48131E-5</v>
      </c>
      <c r="J59" s="133">
        <v>2.7179099999999999E-5</v>
      </c>
      <c r="K59" s="115">
        <v>2.3870999999999999E-5</v>
      </c>
      <c r="L59" s="116">
        <v>1.75487E-5</v>
      </c>
      <c r="M59" s="105">
        <v>8</v>
      </c>
      <c r="N59" s="106">
        <v>11</v>
      </c>
      <c r="O59" s="106">
        <v>25</v>
      </c>
      <c r="P59" s="126">
        <v>2</v>
      </c>
      <c r="Q59" s="106">
        <v>6</v>
      </c>
      <c r="R59" s="127">
        <v>12</v>
      </c>
      <c r="S59" s="126">
        <v>0</v>
      </c>
      <c r="T59" s="106">
        <v>4</v>
      </c>
      <c r="U59" s="127">
        <v>4</v>
      </c>
      <c r="V59" s="106">
        <v>0</v>
      </c>
      <c r="W59" s="106">
        <v>2</v>
      </c>
      <c r="X59" s="109">
        <v>1</v>
      </c>
    </row>
    <row r="60" spans="2:24" x14ac:dyDescent="0.25">
      <c r="B60">
        <v>20081212</v>
      </c>
      <c r="C60" s="103">
        <v>601.70000000000005</v>
      </c>
      <c r="D60" s="108">
        <v>599.79999999999995</v>
      </c>
      <c r="E60" s="114">
        <v>9.3392599999999996E-4</v>
      </c>
      <c r="F60" s="115">
        <v>9.6246400000000001E-4</v>
      </c>
      <c r="G60" s="132">
        <v>9.3392599999999996E-4</v>
      </c>
      <c r="H60" s="133">
        <v>9.6246400000000001E-4</v>
      </c>
      <c r="I60" s="132">
        <v>9.2662400000000002E-4</v>
      </c>
      <c r="J60" s="133">
        <v>9.50744E-4</v>
      </c>
      <c r="K60" s="115">
        <v>9.22973E-4</v>
      </c>
      <c r="L60" s="116">
        <v>9.42687E-4</v>
      </c>
      <c r="M60" s="105">
        <v>0</v>
      </c>
      <c r="N60" s="106">
        <v>11</v>
      </c>
      <c r="O60" s="106">
        <v>36</v>
      </c>
      <c r="P60" s="126">
        <v>0</v>
      </c>
      <c r="Q60" s="106">
        <v>11</v>
      </c>
      <c r="R60" s="127">
        <v>36</v>
      </c>
      <c r="S60" s="126">
        <v>0</v>
      </c>
      <c r="T60" s="106">
        <v>9</v>
      </c>
      <c r="U60" s="127">
        <v>35</v>
      </c>
      <c r="V60" s="106">
        <v>0</v>
      </c>
      <c r="W60" s="106">
        <v>7</v>
      </c>
      <c r="X60" s="109">
        <v>34</v>
      </c>
    </row>
    <row r="61" spans="2:24" x14ac:dyDescent="0.25">
      <c r="B61">
        <v>20090224</v>
      </c>
      <c r="C61" s="103">
        <v>42875.9</v>
      </c>
      <c r="D61" s="108">
        <v>6440.6</v>
      </c>
      <c r="E61" s="114">
        <v>1.8192799999999999E-3</v>
      </c>
      <c r="F61" s="115">
        <v>5.68803E-4</v>
      </c>
      <c r="G61" s="132">
        <v>1.8083400000000001E-3</v>
      </c>
      <c r="H61" s="133">
        <v>5.5795699999999998E-4</v>
      </c>
      <c r="I61" s="132">
        <v>1.80368E-3</v>
      </c>
      <c r="J61" s="133">
        <v>5.5079399999999996E-4</v>
      </c>
      <c r="K61" s="115">
        <v>1.8032899999999999E-3</v>
      </c>
      <c r="L61" s="116">
        <v>5.4424499999999995E-4</v>
      </c>
      <c r="M61" s="105">
        <v>24</v>
      </c>
      <c r="N61" s="106">
        <v>14</v>
      </c>
      <c r="O61" s="106">
        <v>26</v>
      </c>
      <c r="P61" s="126">
        <v>8</v>
      </c>
      <c r="Q61" s="106">
        <v>3</v>
      </c>
      <c r="R61" s="127">
        <v>20</v>
      </c>
      <c r="S61" s="126">
        <v>9</v>
      </c>
      <c r="T61" s="106">
        <v>1</v>
      </c>
      <c r="U61" s="127">
        <v>17</v>
      </c>
      <c r="V61" s="106">
        <v>10</v>
      </c>
      <c r="W61" s="106">
        <v>1</v>
      </c>
      <c r="X61" s="109">
        <v>15</v>
      </c>
    </row>
    <row r="62" spans="2:24" x14ac:dyDescent="0.25">
      <c r="B62">
        <v>20090639</v>
      </c>
      <c r="C62" s="103">
        <v>13757</v>
      </c>
      <c r="D62" s="108">
        <v>3672.9</v>
      </c>
      <c r="E62" s="114">
        <v>2.3091E-4</v>
      </c>
      <c r="F62" s="115">
        <v>1.78839E-4</v>
      </c>
      <c r="G62" s="132">
        <v>2.21871E-4</v>
      </c>
      <c r="H62" s="133">
        <v>1.6556000000000001E-4</v>
      </c>
      <c r="I62" s="132">
        <v>2.17975E-4</v>
      </c>
      <c r="J62" s="133">
        <v>1.6113400000000001E-4</v>
      </c>
      <c r="K62" s="115">
        <v>2.17975E-4</v>
      </c>
      <c r="L62" s="116">
        <v>1.6113400000000001E-4</v>
      </c>
      <c r="M62" s="105">
        <v>5</v>
      </c>
      <c r="N62" s="106">
        <v>7</v>
      </c>
      <c r="O62" s="106">
        <v>12</v>
      </c>
      <c r="P62" s="126">
        <v>0</v>
      </c>
      <c r="Q62" s="106">
        <v>3</v>
      </c>
      <c r="R62" s="127">
        <v>3</v>
      </c>
      <c r="S62" s="126">
        <v>0</v>
      </c>
      <c r="T62" s="106">
        <v>2</v>
      </c>
      <c r="U62" s="127">
        <v>2</v>
      </c>
      <c r="V62" s="106">
        <v>0</v>
      </c>
      <c r="W62" s="106">
        <v>2</v>
      </c>
      <c r="X62" s="109">
        <v>2</v>
      </c>
    </row>
    <row r="63" spans="2:24" x14ac:dyDescent="0.25">
      <c r="B63">
        <v>20090816</v>
      </c>
      <c r="C63" s="103">
        <v>20970.2</v>
      </c>
      <c r="D63" s="108">
        <v>6603.7</v>
      </c>
      <c r="E63" s="114">
        <v>9.4778400000000002E-4</v>
      </c>
      <c r="F63" s="115">
        <v>8.32795E-4</v>
      </c>
      <c r="G63" s="132">
        <v>9.3349500000000001E-4</v>
      </c>
      <c r="H63" s="133">
        <v>8.1689399999999998E-4</v>
      </c>
      <c r="I63" s="132">
        <v>9.3349500000000001E-4</v>
      </c>
      <c r="J63" s="133">
        <v>8.1569599999999998E-4</v>
      </c>
      <c r="K63" s="115">
        <v>9.3349500000000001E-4</v>
      </c>
      <c r="L63" s="116">
        <v>8.1569599999999998E-4</v>
      </c>
      <c r="M63" s="105">
        <v>16</v>
      </c>
      <c r="N63" s="106">
        <v>18</v>
      </c>
      <c r="O63" s="106">
        <v>34</v>
      </c>
      <c r="P63" s="126">
        <v>4</v>
      </c>
      <c r="Q63" s="106">
        <v>2</v>
      </c>
      <c r="R63" s="127">
        <v>18</v>
      </c>
      <c r="S63" s="126">
        <v>4</v>
      </c>
      <c r="T63" s="106">
        <v>0</v>
      </c>
      <c r="U63" s="127">
        <v>18</v>
      </c>
      <c r="V63" s="106">
        <v>4</v>
      </c>
      <c r="W63" s="106">
        <v>0</v>
      </c>
      <c r="X63" s="109">
        <v>18</v>
      </c>
    </row>
    <row r="64" spans="2:24" x14ac:dyDescent="0.25">
      <c r="B64">
        <v>20091349</v>
      </c>
      <c r="C64" s="103">
        <v>14065.4</v>
      </c>
      <c r="D64" s="108">
        <v>4657.6000000000004</v>
      </c>
      <c r="E64" s="114">
        <v>4.1983100000000001E-5</v>
      </c>
      <c r="F64" s="115">
        <v>5.0657500000000001E-5</v>
      </c>
      <c r="G64" s="132">
        <v>2.12414E-6</v>
      </c>
      <c r="H64" s="133">
        <v>1.8017799999999999E-5</v>
      </c>
      <c r="I64" s="132">
        <v>2.12414E-6</v>
      </c>
      <c r="J64" s="133">
        <v>7.64107E-6</v>
      </c>
      <c r="K64" s="115">
        <v>6.8722299999999996E-7</v>
      </c>
      <c r="L64" s="116">
        <v>2.7356900000000001E-6</v>
      </c>
      <c r="M64" s="105">
        <v>10</v>
      </c>
      <c r="N64" s="106">
        <v>23</v>
      </c>
      <c r="O64" s="106">
        <v>38</v>
      </c>
      <c r="P64" s="126">
        <v>0</v>
      </c>
      <c r="Q64" s="106">
        <v>11</v>
      </c>
      <c r="R64" s="127">
        <v>9</v>
      </c>
      <c r="S64" s="126">
        <v>0</v>
      </c>
      <c r="T64" s="106">
        <v>5</v>
      </c>
      <c r="U64" s="127">
        <v>9</v>
      </c>
      <c r="V64" s="106">
        <v>0</v>
      </c>
      <c r="W64" s="106">
        <v>3</v>
      </c>
      <c r="X64" s="109">
        <v>3</v>
      </c>
    </row>
    <row r="65" spans="1:24" x14ac:dyDescent="0.25">
      <c r="B65">
        <v>20091939</v>
      </c>
      <c r="C65" s="103">
        <v>27312.3</v>
      </c>
      <c r="D65" s="108">
        <v>6598.4</v>
      </c>
      <c r="E65" s="114">
        <v>3.9670099999999998E-5</v>
      </c>
      <c r="F65" s="115">
        <v>3.8154500000000002E-5</v>
      </c>
      <c r="G65" s="132">
        <v>2.72832E-5</v>
      </c>
      <c r="H65" s="133">
        <v>2.2972600000000001E-5</v>
      </c>
      <c r="I65" s="132">
        <v>2.6865000000000001E-5</v>
      </c>
      <c r="J65" s="133">
        <v>2.0375699999999999E-5</v>
      </c>
      <c r="K65" s="115">
        <v>1.8966399999999999E-5</v>
      </c>
      <c r="L65" s="116">
        <v>1.77122E-5</v>
      </c>
      <c r="M65" s="105">
        <v>14</v>
      </c>
      <c r="N65" s="106">
        <v>19</v>
      </c>
      <c r="O65" s="106">
        <v>20</v>
      </c>
      <c r="P65" s="126">
        <v>4</v>
      </c>
      <c r="Q65" s="106">
        <v>5</v>
      </c>
      <c r="R65" s="127">
        <v>6</v>
      </c>
      <c r="S65" s="126">
        <v>2</v>
      </c>
      <c r="T65" s="106">
        <v>4</v>
      </c>
      <c r="U65" s="127">
        <v>5</v>
      </c>
      <c r="V65" s="106">
        <v>1</v>
      </c>
      <c r="W65" s="106">
        <v>3</v>
      </c>
      <c r="X65" s="109">
        <v>4</v>
      </c>
    </row>
    <row r="66" spans="1:24" x14ac:dyDescent="0.25">
      <c r="B66">
        <v>20091940</v>
      </c>
      <c r="C66" s="103">
        <v>5249.3</v>
      </c>
      <c r="D66" s="108">
        <v>4846.7</v>
      </c>
      <c r="E66" s="114">
        <v>1.9133999999999999E-4</v>
      </c>
      <c r="F66" s="115">
        <v>1.8447900000000001E-4</v>
      </c>
      <c r="G66" s="132">
        <v>1.80626E-4</v>
      </c>
      <c r="H66" s="133">
        <v>1.65351E-4</v>
      </c>
      <c r="I66" s="132">
        <v>1.7895199999999999E-4</v>
      </c>
      <c r="J66" s="133">
        <v>1.6353799999999999E-4</v>
      </c>
      <c r="K66" s="115">
        <v>1.63802E-4</v>
      </c>
      <c r="L66" s="116">
        <v>1.44592E-4</v>
      </c>
      <c r="M66" s="105">
        <v>1</v>
      </c>
      <c r="N66" s="106">
        <v>16</v>
      </c>
      <c r="O66" s="106">
        <v>33</v>
      </c>
      <c r="P66" s="126">
        <v>2</v>
      </c>
      <c r="Q66" s="106">
        <v>3</v>
      </c>
      <c r="R66" s="127">
        <v>23</v>
      </c>
      <c r="S66" s="126">
        <v>1</v>
      </c>
      <c r="T66" s="106">
        <v>1</v>
      </c>
      <c r="U66" s="127">
        <v>22</v>
      </c>
      <c r="V66" s="106">
        <v>2</v>
      </c>
      <c r="W66" s="106">
        <v>0</v>
      </c>
      <c r="X66" s="109">
        <v>14</v>
      </c>
    </row>
    <row r="67" spans="1:24" x14ac:dyDescent="0.25">
      <c r="C67" s="105"/>
      <c r="D67" s="109"/>
      <c r="E67" s="105"/>
      <c r="F67" s="106"/>
      <c r="G67" s="126"/>
      <c r="H67" s="127"/>
      <c r="I67" s="126"/>
      <c r="J67" s="127"/>
      <c r="K67" s="106"/>
      <c r="L67" s="109"/>
      <c r="M67" s="105"/>
      <c r="N67" s="106"/>
      <c r="O67" s="106"/>
      <c r="P67" s="126"/>
      <c r="Q67" s="106"/>
      <c r="R67" s="127"/>
      <c r="S67" s="126"/>
      <c r="T67" s="106"/>
      <c r="U67" s="127"/>
      <c r="V67" s="106"/>
      <c r="W67" s="106"/>
      <c r="X67" s="109"/>
    </row>
    <row r="68" spans="1:24" x14ac:dyDescent="0.25">
      <c r="A68" t="s">
        <v>1093</v>
      </c>
      <c r="B68">
        <v>20080194</v>
      </c>
      <c r="C68" s="103">
        <v>20090.099999999999</v>
      </c>
      <c r="D68" s="108">
        <v>6947.5</v>
      </c>
      <c r="E68" s="114">
        <v>4.5478800000000002E-5</v>
      </c>
      <c r="F68" s="115">
        <v>7.34793E-5</v>
      </c>
      <c r="G68" s="132">
        <v>1.7280999999999999E-5</v>
      </c>
      <c r="H68" s="133">
        <v>2.6664799999999999E-5</v>
      </c>
      <c r="I68" s="132">
        <v>1.23801E-5</v>
      </c>
      <c r="J68" s="133">
        <v>1.28287E-5</v>
      </c>
      <c r="K68" s="115">
        <v>7.6649699999999999E-6</v>
      </c>
      <c r="L68" s="116">
        <v>8.6643799999999999E-6</v>
      </c>
      <c r="M68" s="105">
        <v>16</v>
      </c>
      <c r="N68" s="106">
        <v>35</v>
      </c>
      <c r="O68" s="106">
        <v>54</v>
      </c>
      <c r="P68" s="126">
        <v>1</v>
      </c>
      <c r="Q68" s="106">
        <v>3</v>
      </c>
      <c r="R68" s="127">
        <v>11</v>
      </c>
      <c r="S68" s="126">
        <v>2</v>
      </c>
      <c r="T68" s="106">
        <v>1</v>
      </c>
      <c r="U68" s="127">
        <v>6</v>
      </c>
      <c r="V68" s="106">
        <v>2</v>
      </c>
      <c r="W68" s="106">
        <v>1</v>
      </c>
      <c r="X68" s="109">
        <v>3</v>
      </c>
    </row>
    <row r="69" spans="1:24" x14ac:dyDescent="0.25">
      <c r="B69">
        <v>20080341</v>
      </c>
      <c r="C69" s="103">
        <v>16507.099999999999</v>
      </c>
      <c r="D69" s="108">
        <v>5961.3</v>
      </c>
      <c r="E69" s="114">
        <v>7.69192E-5</v>
      </c>
      <c r="F69" s="115">
        <v>1.81526E-4</v>
      </c>
      <c r="G69" s="132">
        <v>4.4579800000000003E-5</v>
      </c>
      <c r="H69" s="133">
        <v>1.25244E-4</v>
      </c>
      <c r="I69" s="132">
        <v>2.9767000000000001E-5</v>
      </c>
      <c r="J69" s="133">
        <v>8.2661099999999994E-5</v>
      </c>
      <c r="K69" s="115">
        <v>1.18446E-5</v>
      </c>
      <c r="L69" s="116">
        <v>3.3581100000000003E-5</v>
      </c>
      <c r="M69" s="105">
        <v>9</v>
      </c>
      <c r="N69" s="106">
        <v>46</v>
      </c>
      <c r="O69" s="106">
        <v>103</v>
      </c>
      <c r="P69" s="126">
        <v>5</v>
      </c>
      <c r="Q69" s="106">
        <v>11</v>
      </c>
      <c r="R69" s="127">
        <v>56</v>
      </c>
      <c r="S69" s="126">
        <v>2</v>
      </c>
      <c r="T69" s="106">
        <v>8</v>
      </c>
      <c r="U69" s="127">
        <v>30</v>
      </c>
      <c r="V69" s="106">
        <v>0</v>
      </c>
      <c r="W69" s="106">
        <v>4</v>
      </c>
      <c r="X69" s="109">
        <v>9</v>
      </c>
    </row>
    <row r="70" spans="1:24" x14ac:dyDescent="0.25">
      <c r="B70">
        <v>20080684</v>
      </c>
      <c r="C70" s="103">
        <v>23219.5</v>
      </c>
      <c r="D70" s="108">
        <v>6965.9</v>
      </c>
      <c r="E70" s="114">
        <v>7.5724500000000003E-5</v>
      </c>
      <c r="F70" s="115">
        <v>7.9180799999999999E-5</v>
      </c>
      <c r="G70" s="132">
        <v>5.6994399999999998E-5</v>
      </c>
      <c r="H70" s="133">
        <v>5.6538600000000001E-5</v>
      </c>
      <c r="I70" s="132">
        <v>3.6917700000000001E-5</v>
      </c>
      <c r="J70" s="133">
        <v>4.6892199999999998E-5</v>
      </c>
      <c r="K70" s="115">
        <v>3.2014100000000002E-5</v>
      </c>
      <c r="L70" s="116">
        <v>3.8987499999999999E-5</v>
      </c>
      <c r="M70" s="105">
        <v>8</v>
      </c>
      <c r="N70" s="106">
        <v>14</v>
      </c>
      <c r="O70" s="106">
        <v>31</v>
      </c>
      <c r="P70" s="126">
        <v>3</v>
      </c>
      <c r="Q70" s="106">
        <v>2</v>
      </c>
      <c r="R70" s="127">
        <v>12</v>
      </c>
      <c r="S70" s="126">
        <v>0</v>
      </c>
      <c r="T70" s="106">
        <v>2</v>
      </c>
      <c r="U70" s="127">
        <v>7</v>
      </c>
      <c r="V70" s="106">
        <v>0</v>
      </c>
      <c r="W70" s="106">
        <v>1</v>
      </c>
      <c r="X70" s="109">
        <v>4</v>
      </c>
    </row>
    <row r="71" spans="1:24" x14ac:dyDescent="0.25">
      <c r="B71">
        <v>20080698</v>
      </c>
      <c r="C71" s="103">
        <v>35520.1</v>
      </c>
      <c r="D71" s="108">
        <v>7053.4</v>
      </c>
      <c r="E71" s="114">
        <v>1.5501900000000001E-5</v>
      </c>
      <c r="F71" s="115">
        <v>1.25037E-5</v>
      </c>
      <c r="G71" s="132">
        <v>1.5633299999999999E-6</v>
      </c>
      <c r="H71" s="133">
        <v>3.9694399999999999E-6</v>
      </c>
      <c r="I71" s="132">
        <v>1.5633299999999999E-6</v>
      </c>
      <c r="J71" s="133">
        <v>3.9694399999999999E-6</v>
      </c>
      <c r="K71" s="115">
        <v>5.2548899999999997E-8</v>
      </c>
      <c r="L71" s="116">
        <v>5.9541599999999996E-7</v>
      </c>
      <c r="M71" s="105">
        <v>23</v>
      </c>
      <c r="N71" s="106">
        <v>5</v>
      </c>
      <c r="O71" s="106">
        <v>12</v>
      </c>
      <c r="P71" s="126">
        <v>0</v>
      </c>
      <c r="Q71" s="106">
        <v>1</v>
      </c>
      <c r="R71" s="127">
        <v>2</v>
      </c>
      <c r="S71" s="126">
        <v>0</v>
      </c>
      <c r="T71" s="106">
        <v>1</v>
      </c>
      <c r="U71" s="127">
        <v>2</v>
      </c>
      <c r="V71" s="106">
        <v>0</v>
      </c>
      <c r="W71" s="106">
        <v>1</v>
      </c>
      <c r="X71" s="109">
        <v>1</v>
      </c>
    </row>
    <row r="72" spans="1:24" x14ac:dyDescent="0.25">
      <c r="B72">
        <v>20080719</v>
      </c>
      <c r="C72" s="103">
        <v>14332</v>
      </c>
      <c r="D72" s="108">
        <v>6703.1</v>
      </c>
      <c r="E72" s="114">
        <v>5.3950299999999997E-5</v>
      </c>
      <c r="F72" s="115">
        <v>4.7268599999999997E-5</v>
      </c>
      <c r="G72" s="132">
        <v>4.9001400000000001E-5</v>
      </c>
      <c r="H72" s="133">
        <v>3.1744400000000001E-5</v>
      </c>
      <c r="I72" s="132">
        <v>2.8912400000000001E-5</v>
      </c>
      <c r="J72" s="133">
        <v>2.8124500000000002E-5</v>
      </c>
      <c r="K72" s="117">
        <v>4.9999999999999998E-8</v>
      </c>
      <c r="L72" s="116">
        <v>4.80343E-6</v>
      </c>
      <c r="M72" s="105">
        <v>0</v>
      </c>
      <c r="N72" s="106">
        <v>9</v>
      </c>
      <c r="O72" s="106">
        <v>22</v>
      </c>
      <c r="P72" s="126">
        <v>5</v>
      </c>
      <c r="Q72" s="106">
        <v>3</v>
      </c>
      <c r="R72" s="127">
        <v>11</v>
      </c>
      <c r="S72" s="126">
        <v>1</v>
      </c>
      <c r="T72" s="106">
        <v>2</v>
      </c>
      <c r="U72" s="127">
        <v>9</v>
      </c>
      <c r="V72" s="106">
        <v>0</v>
      </c>
      <c r="W72" s="106">
        <v>1</v>
      </c>
      <c r="X72" s="109">
        <v>0</v>
      </c>
    </row>
    <row r="73" spans="1:24" x14ac:dyDescent="0.25">
      <c r="B73">
        <v>20080832</v>
      </c>
      <c r="C73" s="103">
        <v>14054.2</v>
      </c>
      <c r="D73" s="108">
        <v>6753.1</v>
      </c>
      <c r="E73" s="114">
        <v>3.7120399999999998E-5</v>
      </c>
      <c r="F73" s="115">
        <v>4.6296900000000001E-5</v>
      </c>
      <c r="G73" s="132">
        <v>1.9589500000000001E-6</v>
      </c>
      <c r="H73" s="133">
        <v>7.9464900000000002E-6</v>
      </c>
      <c r="I73" s="134">
        <v>4.9999999999999998E-8</v>
      </c>
      <c r="J73" s="136">
        <v>6.9099899999999998E-8</v>
      </c>
      <c r="K73" s="117">
        <v>4.9999999999999998E-8</v>
      </c>
      <c r="L73" s="116">
        <v>6.9099899999999998E-8</v>
      </c>
      <c r="M73" s="105">
        <v>6</v>
      </c>
      <c r="N73" s="106">
        <v>19</v>
      </c>
      <c r="O73" s="106">
        <v>44</v>
      </c>
      <c r="P73" s="126">
        <v>0</v>
      </c>
      <c r="Q73" s="106">
        <v>4</v>
      </c>
      <c r="R73" s="127">
        <v>3</v>
      </c>
      <c r="S73" s="126">
        <v>0</v>
      </c>
      <c r="T73" s="106">
        <v>1</v>
      </c>
      <c r="U73" s="127">
        <v>0</v>
      </c>
      <c r="V73" s="106">
        <v>0</v>
      </c>
      <c r="W73" s="106">
        <v>1</v>
      </c>
      <c r="X73" s="109">
        <v>0</v>
      </c>
    </row>
    <row r="74" spans="1:24" x14ac:dyDescent="0.25">
      <c r="B74">
        <v>20080857</v>
      </c>
      <c r="C74" s="103">
        <v>25185.1</v>
      </c>
      <c r="D74" s="108">
        <v>7007.1</v>
      </c>
      <c r="E74" s="114">
        <v>1.91137E-4</v>
      </c>
      <c r="F74" s="115">
        <v>3.3643699999999998E-4</v>
      </c>
      <c r="G74" s="132">
        <v>1.7746299999999999E-4</v>
      </c>
      <c r="H74" s="133">
        <v>3.1852300000000003E-4</v>
      </c>
      <c r="I74" s="132">
        <v>1.74091E-4</v>
      </c>
      <c r="J74" s="133">
        <v>3.10265E-4</v>
      </c>
      <c r="K74" s="115">
        <v>1.54081E-4</v>
      </c>
      <c r="L74" s="116">
        <v>2.9441599999999998E-4</v>
      </c>
      <c r="M74" s="105">
        <v>12</v>
      </c>
      <c r="N74" s="106">
        <v>13</v>
      </c>
      <c r="O74" s="106">
        <v>42</v>
      </c>
      <c r="P74" s="126">
        <v>4</v>
      </c>
      <c r="Q74" s="106">
        <v>2</v>
      </c>
      <c r="R74" s="127">
        <v>22</v>
      </c>
      <c r="S74" s="126">
        <v>4</v>
      </c>
      <c r="T74" s="106">
        <v>1</v>
      </c>
      <c r="U74" s="127">
        <v>19</v>
      </c>
      <c r="V74" s="106">
        <v>3</v>
      </c>
      <c r="W74" s="106">
        <v>1</v>
      </c>
      <c r="X74" s="109">
        <v>14</v>
      </c>
    </row>
    <row r="75" spans="1:24" x14ac:dyDescent="0.25">
      <c r="B75">
        <v>20080860</v>
      </c>
      <c r="C75" s="103">
        <v>15260.7</v>
      </c>
      <c r="D75" s="108">
        <v>6812.8</v>
      </c>
      <c r="E75" s="114">
        <v>4.92604E-5</v>
      </c>
      <c r="F75" s="115">
        <v>5.2945699999999997E-5</v>
      </c>
      <c r="G75" s="132">
        <v>9.0203599999999998E-6</v>
      </c>
      <c r="H75" s="133">
        <v>1.67125E-5</v>
      </c>
      <c r="I75" s="132">
        <v>7.6749500000000001E-6</v>
      </c>
      <c r="J75" s="133">
        <v>9.5206300000000004E-6</v>
      </c>
      <c r="K75" s="115">
        <v>7.0022499999999997E-6</v>
      </c>
      <c r="L75" s="116">
        <v>8.5617199999999994E-6</v>
      </c>
      <c r="M75" s="105">
        <v>14</v>
      </c>
      <c r="N75" s="106">
        <v>26</v>
      </c>
      <c r="O75" s="106">
        <v>44</v>
      </c>
      <c r="P75" s="126">
        <v>1</v>
      </c>
      <c r="Q75" s="106">
        <v>7</v>
      </c>
      <c r="R75" s="127">
        <v>8</v>
      </c>
      <c r="S75" s="126">
        <v>1</v>
      </c>
      <c r="T75" s="106">
        <v>4</v>
      </c>
      <c r="U75" s="127">
        <v>6</v>
      </c>
      <c r="V75" s="106">
        <v>0</v>
      </c>
      <c r="W75" s="106">
        <v>3</v>
      </c>
      <c r="X75" s="109">
        <v>4</v>
      </c>
    </row>
    <row r="76" spans="1:24" x14ac:dyDescent="0.25">
      <c r="B76">
        <v>20080867</v>
      </c>
      <c r="C76" s="103">
        <v>7093.5</v>
      </c>
      <c r="D76" s="108">
        <v>5086.6000000000004</v>
      </c>
      <c r="E76" s="114">
        <v>1.8426E-4</v>
      </c>
      <c r="F76" s="115">
        <v>2.1127400000000001E-4</v>
      </c>
      <c r="G76" s="132">
        <v>1.3235699999999999E-4</v>
      </c>
      <c r="H76" s="133">
        <v>1.3770000000000001E-4</v>
      </c>
      <c r="I76" s="132">
        <v>1.06636E-4</v>
      </c>
      <c r="J76" s="133">
        <v>1.11921E-4</v>
      </c>
      <c r="K76" s="115">
        <v>9.3544599999999999E-5</v>
      </c>
      <c r="L76" s="116">
        <v>8.5867300000000004E-5</v>
      </c>
      <c r="M76" s="105">
        <v>3</v>
      </c>
      <c r="N76" s="106">
        <v>50</v>
      </c>
      <c r="O76" s="106">
        <v>89</v>
      </c>
      <c r="P76" s="126">
        <v>3</v>
      </c>
      <c r="Q76" s="106">
        <v>5</v>
      </c>
      <c r="R76" s="127">
        <v>38</v>
      </c>
      <c r="S76" s="126">
        <v>1</v>
      </c>
      <c r="T76" s="106">
        <v>5</v>
      </c>
      <c r="U76" s="127">
        <v>19</v>
      </c>
      <c r="V76" s="106">
        <v>1</v>
      </c>
      <c r="W76" s="106">
        <v>2</v>
      </c>
      <c r="X76" s="109">
        <v>8</v>
      </c>
    </row>
    <row r="77" spans="1:24" x14ac:dyDescent="0.25">
      <c r="B77">
        <v>20080869</v>
      </c>
      <c r="C77" s="103">
        <v>3903.6</v>
      </c>
      <c r="D77" s="108">
        <v>3667.8</v>
      </c>
      <c r="E77" s="114">
        <v>4.3464300000000002E-4</v>
      </c>
      <c r="F77" s="115">
        <v>4.7301899999999998E-4</v>
      </c>
      <c r="G77" s="132">
        <v>3.5813799999999998E-4</v>
      </c>
      <c r="H77" s="133">
        <v>3.7747399999999998E-4</v>
      </c>
      <c r="I77" s="132">
        <v>2.9502199999999998E-4</v>
      </c>
      <c r="J77" s="133">
        <v>3.0584600000000003E-4</v>
      </c>
      <c r="K77" s="115">
        <v>2.2305900000000001E-4</v>
      </c>
      <c r="L77" s="116">
        <v>2.3994399999999999E-4</v>
      </c>
      <c r="M77" s="105">
        <v>2</v>
      </c>
      <c r="N77" s="106">
        <v>57</v>
      </c>
      <c r="O77" s="106">
        <v>167</v>
      </c>
      <c r="P77" s="126">
        <v>0</v>
      </c>
      <c r="Q77" s="106">
        <v>25</v>
      </c>
      <c r="R77" s="127">
        <v>128</v>
      </c>
      <c r="S77" s="126">
        <v>0</v>
      </c>
      <c r="T77" s="106">
        <v>8</v>
      </c>
      <c r="U77" s="127">
        <v>108</v>
      </c>
      <c r="V77" s="106">
        <v>0</v>
      </c>
      <c r="W77" s="106">
        <v>4</v>
      </c>
      <c r="X77" s="109">
        <v>77</v>
      </c>
    </row>
    <row r="78" spans="1:24" x14ac:dyDescent="0.25">
      <c r="B78">
        <v>20080933</v>
      </c>
      <c r="C78" s="103">
        <v>12094.3</v>
      </c>
      <c r="D78" s="108">
        <v>5361.6</v>
      </c>
      <c r="E78" s="114">
        <v>2.7417000000000001E-4</v>
      </c>
      <c r="F78" s="115">
        <v>1.2375999999999999E-4</v>
      </c>
      <c r="G78" s="132">
        <v>2.4839699999999997E-4</v>
      </c>
      <c r="H78" s="133">
        <v>6.9886899999999997E-5</v>
      </c>
      <c r="I78" s="132">
        <v>2.0638000000000001E-4</v>
      </c>
      <c r="J78" s="133">
        <v>3.8642300000000001E-5</v>
      </c>
      <c r="K78" s="115">
        <v>1.98471E-4</v>
      </c>
      <c r="L78" s="116">
        <v>1.9060100000000001E-5</v>
      </c>
      <c r="M78" s="105">
        <v>3</v>
      </c>
      <c r="N78" s="106">
        <v>50</v>
      </c>
      <c r="O78" s="106">
        <v>59</v>
      </c>
      <c r="P78" s="126">
        <v>4</v>
      </c>
      <c r="Q78" s="106">
        <v>5</v>
      </c>
      <c r="R78" s="127">
        <v>28</v>
      </c>
      <c r="S78" s="126">
        <v>2</v>
      </c>
      <c r="T78" s="106">
        <v>5</v>
      </c>
      <c r="U78" s="127">
        <v>11</v>
      </c>
      <c r="V78" s="106">
        <v>1</v>
      </c>
      <c r="W78" s="106">
        <v>1</v>
      </c>
      <c r="X78" s="109">
        <v>3</v>
      </c>
    </row>
    <row r="79" spans="1:24" x14ac:dyDescent="0.25">
      <c r="B79">
        <v>20080980</v>
      </c>
      <c r="C79" s="103">
        <v>24427.8</v>
      </c>
      <c r="D79" s="108">
        <v>6721.8</v>
      </c>
      <c r="E79" s="114">
        <v>7.9906400000000005E-5</v>
      </c>
      <c r="F79" s="115">
        <v>8.2264300000000004E-5</v>
      </c>
      <c r="G79" s="132">
        <v>5.3850400000000002E-5</v>
      </c>
      <c r="H79" s="133">
        <v>5.3523899999999998E-5</v>
      </c>
      <c r="I79" s="132">
        <v>3.4938799999999998E-5</v>
      </c>
      <c r="J79" s="133">
        <v>3.7070999999999998E-5</v>
      </c>
      <c r="K79" s="115">
        <v>1.3371900000000001E-7</v>
      </c>
      <c r="L79" s="116">
        <v>9.3024700000000007E-6</v>
      </c>
      <c r="M79" s="105">
        <v>12</v>
      </c>
      <c r="N79" s="106">
        <v>16</v>
      </c>
      <c r="O79" s="106">
        <v>46</v>
      </c>
      <c r="P79" s="126">
        <v>1</v>
      </c>
      <c r="Q79" s="106">
        <v>8</v>
      </c>
      <c r="R79" s="127">
        <v>18</v>
      </c>
      <c r="S79" s="126">
        <v>0</v>
      </c>
      <c r="T79" s="106">
        <v>5</v>
      </c>
      <c r="U79" s="127">
        <v>9</v>
      </c>
      <c r="V79" s="106">
        <v>0</v>
      </c>
      <c r="W79" s="106">
        <v>4</v>
      </c>
      <c r="X79" s="109">
        <v>1</v>
      </c>
    </row>
    <row r="80" spans="1:24" x14ac:dyDescent="0.25">
      <c r="B80">
        <v>20081042</v>
      </c>
      <c r="C80" s="103">
        <v>15419.6</v>
      </c>
      <c r="D80" s="108">
        <v>6772.8</v>
      </c>
      <c r="E80" s="114">
        <v>1.22563E-5</v>
      </c>
      <c r="F80" s="115">
        <v>1.07482E-5</v>
      </c>
      <c r="G80" s="134">
        <v>4.9999999999999998E-8</v>
      </c>
      <c r="H80" s="133">
        <v>1.03348E-6</v>
      </c>
      <c r="I80" s="134">
        <v>4.9999999999999998E-8</v>
      </c>
      <c r="J80" s="133">
        <v>2.0669599999999999E-7</v>
      </c>
      <c r="K80" s="117">
        <v>4.9999999999999998E-8</v>
      </c>
      <c r="L80" s="116">
        <v>2.0669599999999999E-7</v>
      </c>
      <c r="M80" s="105">
        <v>5</v>
      </c>
      <c r="N80" s="106">
        <v>6</v>
      </c>
      <c r="O80" s="106">
        <v>11</v>
      </c>
      <c r="P80" s="126">
        <v>0</v>
      </c>
      <c r="Q80" s="106">
        <v>2</v>
      </c>
      <c r="R80" s="127">
        <v>0</v>
      </c>
      <c r="S80" s="126">
        <v>0</v>
      </c>
      <c r="T80" s="106">
        <v>1</v>
      </c>
      <c r="U80" s="127">
        <v>0</v>
      </c>
      <c r="V80" s="106">
        <v>0</v>
      </c>
      <c r="W80" s="106">
        <v>1</v>
      </c>
      <c r="X80" s="109">
        <v>0</v>
      </c>
    </row>
    <row r="81" spans="1:24" x14ac:dyDescent="0.25">
      <c r="B81">
        <v>20081054</v>
      </c>
      <c r="C81" s="103">
        <v>11085.6</v>
      </c>
      <c r="D81" s="108">
        <v>6683.2</v>
      </c>
      <c r="E81" s="114">
        <v>4.1083600000000001E-5</v>
      </c>
      <c r="F81" s="115">
        <v>5.6137200000000002E-5</v>
      </c>
      <c r="G81" s="132">
        <v>1.36384E-5</v>
      </c>
      <c r="H81" s="133">
        <v>1.5221299999999999E-5</v>
      </c>
      <c r="I81" s="132">
        <v>1.0649799999999999E-5</v>
      </c>
      <c r="J81" s="133">
        <v>8.5183299999999998E-6</v>
      </c>
      <c r="K81" s="115">
        <v>7.1559600000000003E-6</v>
      </c>
      <c r="L81" s="116">
        <v>8.3088599999999999E-6</v>
      </c>
      <c r="M81" s="105">
        <v>5</v>
      </c>
      <c r="N81" s="106">
        <v>41</v>
      </c>
      <c r="O81" s="106">
        <v>38</v>
      </c>
      <c r="P81" s="126">
        <v>0</v>
      </c>
      <c r="Q81" s="106">
        <v>4</v>
      </c>
      <c r="R81" s="127">
        <v>7</v>
      </c>
      <c r="S81" s="126">
        <v>1</v>
      </c>
      <c r="T81" s="106">
        <v>4</v>
      </c>
      <c r="U81" s="127">
        <v>2</v>
      </c>
      <c r="V81" s="106">
        <v>0</v>
      </c>
      <c r="W81" s="106">
        <v>3</v>
      </c>
      <c r="X81" s="109">
        <v>2</v>
      </c>
    </row>
    <row r="82" spans="1:24" x14ac:dyDescent="0.25">
      <c r="B82">
        <v>20081084</v>
      </c>
      <c r="C82" s="103">
        <v>19482.900000000001</v>
      </c>
      <c r="D82" s="108">
        <v>6376.6</v>
      </c>
      <c r="E82" s="114">
        <v>7.20207E-5</v>
      </c>
      <c r="F82" s="115">
        <v>7.7276999999999999E-5</v>
      </c>
      <c r="G82" s="132">
        <v>4.6081700000000003E-5</v>
      </c>
      <c r="H82" s="133">
        <v>3.8711699999999997E-5</v>
      </c>
      <c r="I82" s="132">
        <v>3.9758700000000003E-5</v>
      </c>
      <c r="J82" s="133">
        <v>3.3296400000000002E-5</v>
      </c>
      <c r="K82" s="115">
        <v>3.9327599999999999E-5</v>
      </c>
      <c r="L82" s="116">
        <v>3.0076599999999999E-5</v>
      </c>
      <c r="M82" s="105">
        <v>20</v>
      </c>
      <c r="N82" s="106">
        <v>42</v>
      </c>
      <c r="O82" s="106">
        <v>37</v>
      </c>
      <c r="P82" s="126">
        <v>1</v>
      </c>
      <c r="Q82" s="106">
        <v>7</v>
      </c>
      <c r="R82" s="127">
        <v>10</v>
      </c>
      <c r="S82" s="126">
        <v>1</v>
      </c>
      <c r="T82" s="106">
        <v>7</v>
      </c>
      <c r="U82" s="127">
        <v>5</v>
      </c>
      <c r="V82" s="106">
        <v>0</v>
      </c>
      <c r="W82" s="106">
        <v>6</v>
      </c>
      <c r="X82" s="109">
        <v>4</v>
      </c>
    </row>
    <row r="83" spans="1:24" x14ac:dyDescent="0.25">
      <c r="B83">
        <v>20081149</v>
      </c>
      <c r="C83" s="103">
        <v>44641.8</v>
      </c>
      <c r="D83" s="108">
        <v>7719.8</v>
      </c>
      <c r="E83" s="114">
        <v>9.7755299999999996E-5</v>
      </c>
      <c r="F83" s="115">
        <v>1.1031600000000001E-4</v>
      </c>
      <c r="G83" s="132">
        <v>7.2333900000000002E-6</v>
      </c>
      <c r="H83" s="133">
        <v>3.6147299999999999E-5</v>
      </c>
      <c r="I83" s="134">
        <v>4.9999999999999998E-8</v>
      </c>
      <c r="J83" s="133">
        <v>2.2909400000000001E-5</v>
      </c>
      <c r="K83" s="117">
        <v>4.9999999999999998E-8</v>
      </c>
      <c r="L83" s="118">
        <v>4.9999999999999998E-8</v>
      </c>
      <c r="M83" s="105">
        <v>63</v>
      </c>
      <c r="N83" s="106">
        <v>17</v>
      </c>
      <c r="O83" s="106">
        <v>108</v>
      </c>
      <c r="P83" s="126">
        <v>0</v>
      </c>
      <c r="Q83" s="106">
        <v>9</v>
      </c>
      <c r="R83" s="127">
        <v>7</v>
      </c>
      <c r="S83" s="126">
        <v>0</v>
      </c>
      <c r="T83" s="106">
        <v>9</v>
      </c>
      <c r="U83" s="127">
        <v>0</v>
      </c>
      <c r="V83" s="106">
        <v>0</v>
      </c>
      <c r="W83" s="106">
        <v>0</v>
      </c>
      <c r="X83" s="109">
        <v>0</v>
      </c>
    </row>
    <row r="84" spans="1:24" x14ac:dyDescent="0.25">
      <c r="B84">
        <v>20081154</v>
      </c>
      <c r="C84" s="103">
        <v>7739</v>
      </c>
      <c r="D84" s="108">
        <v>4231.2</v>
      </c>
      <c r="E84" s="114">
        <v>6.0477699999999999E-5</v>
      </c>
      <c r="F84" s="115">
        <v>6.5398899999999995E-5</v>
      </c>
      <c r="G84" s="132">
        <v>2.1767200000000001E-5</v>
      </c>
      <c r="H84" s="133">
        <v>2.8894599999999999E-5</v>
      </c>
      <c r="I84" s="132">
        <v>2.0742099999999999E-5</v>
      </c>
      <c r="J84" s="133">
        <v>2.2498100000000001E-5</v>
      </c>
      <c r="K84" s="115">
        <v>2.0440599999999999E-5</v>
      </c>
      <c r="L84" s="116">
        <v>1.8196999999999999E-5</v>
      </c>
      <c r="M84" s="105">
        <v>11</v>
      </c>
      <c r="N84" s="106">
        <v>25</v>
      </c>
      <c r="O84" s="106">
        <v>28</v>
      </c>
      <c r="P84" s="126">
        <v>0</v>
      </c>
      <c r="Q84" s="106">
        <v>12</v>
      </c>
      <c r="R84" s="127">
        <v>5</v>
      </c>
      <c r="S84" s="126">
        <v>0</v>
      </c>
      <c r="T84" s="106">
        <v>9</v>
      </c>
      <c r="U84" s="127">
        <v>4</v>
      </c>
      <c r="V84" s="106">
        <v>1</v>
      </c>
      <c r="W84" s="106">
        <v>4</v>
      </c>
      <c r="X84" s="109">
        <v>2</v>
      </c>
    </row>
    <row r="85" spans="1:24" x14ac:dyDescent="0.25">
      <c r="B85">
        <v>20081164</v>
      </c>
      <c r="C85" s="103">
        <v>15114.1</v>
      </c>
      <c r="D85" s="108">
        <v>5998.9</v>
      </c>
      <c r="E85" s="114">
        <v>6.1439599999999994E-5</v>
      </c>
      <c r="F85" s="115">
        <v>1.0835799999999999E-4</v>
      </c>
      <c r="G85" s="132">
        <v>3.9827699999999998E-5</v>
      </c>
      <c r="H85" s="133">
        <v>7.50648E-5</v>
      </c>
      <c r="I85" s="132">
        <v>3.0040600000000002E-5</v>
      </c>
      <c r="J85" s="133">
        <v>5.8340500000000002E-5</v>
      </c>
      <c r="K85" s="115">
        <v>6.7614500000000003E-6</v>
      </c>
      <c r="L85" s="116">
        <v>2.31806E-5</v>
      </c>
      <c r="M85" s="105">
        <v>12</v>
      </c>
      <c r="N85" s="106">
        <v>28</v>
      </c>
      <c r="O85" s="106">
        <v>60</v>
      </c>
      <c r="P85" s="126">
        <v>1</v>
      </c>
      <c r="Q85" s="106">
        <v>2</v>
      </c>
      <c r="R85" s="127">
        <v>33</v>
      </c>
      <c r="S85" s="126">
        <v>1</v>
      </c>
      <c r="T85" s="106">
        <v>4</v>
      </c>
      <c r="U85" s="127">
        <v>19</v>
      </c>
      <c r="V85" s="106">
        <v>0</v>
      </c>
      <c r="W85" s="106">
        <v>2</v>
      </c>
      <c r="X85" s="109">
        <v>7</v>
      </c>
    </row>
    <row r="86" spans="1:24" x14ac:dyDescent="0.25">
      <c r="B86">
        <v>20081170</v>
      </c>
      <c r="C86" s="103">
        <v>60491.199999999997</v>
      </c>
      <c r="D86" s="108">
        <v>7688.8</v>
      </c>
      <c r="E86" s="114">
        <v>5.5441300000000001E-5</v>
      </c>
      <c r="F86" s="115">
        <v>6.7183999999999999E-5</v>
      </c>
      <c r="G86" s="132">
        <v>3.3479199999999999E-6</v>
      </c>
      <c r="H86" s="133">
        <v>2.5793299999999999E-5</v>
      </c>
      <c r="I86" s="132">
        <v>3.3479199999999999E-6</v>
      </c>
      <c r="J86" s="133">
        <v>2.5793299999999999E-5</v>
      </c>
      <c r="K86" s="115">
        <v>1.63539E-6</v>
      </c>
      <c r="L86" s="116">
        <v>2.5793299999999999E-5</v>
      </c>
      <c r="M86" s="105">
        <v>62</v>
      </c>
      <c r="N86" s="106">
        <v>11</v>
      </c>
      <c r="O86" s="106">
        <v>58</v>
      </c>
      <c r="P86" s="126">
        <v>0</v>
      </c>
      <c r="Q86" s="106">
        <v>0</v>
      </c>
      <c r="R86" s="127">
        <v>4</v>
      </c>
      <c r="S86" s="126">
        <v>0</v>
      </c>
      <c r="T86" s="106">
        <v>0</v>
      </c>
      <c r="U86" s="127">
        <v>4</v>
      </c>
      <c r="V86" s="106">
        <v>0</v>
      </c>
      <c r="W86" s="106">
        <v>2</v>
      </c>
      <c r="X86" s="109">
        <v>2</v>
      </c>
    </row>
    <row r="87" spans="1:24" x14ac:dyDescent="0.25">
      <c r="B87">
        <v>20081207</v>
      </c>
      <c r="C87" s="103">
        <v>16573.5</v>
      </c>
      <c r="D87" s="108">
        <v>4314.2</v>
      </c>
      <c r="E87" s="114">
        <v>9.4883900000000001E-5</v>
      </c>
      <c r="F87" s="115">
        <v>1.4028700000000001E-4</v>
      </c>
      <c r="G87" s="132">
        <v>3.2716699999999998E-5</v>
      </c>
      <c r="H87" s="133">
        <v>7.9174900000000007E-5</v>
      </c>
      <c r="I87" s="132">
        <v>2.3735099999999999E-5</v>
      </c>
      <c r="J87" s="133">
        <v>5.9273E-5</v>
      </c>
      <c r="K87" s="115">
        <v>1.64146E-5</v>
      </c>
      <c r="L87" s="116">
        <v>3.62344E-5</v>
      </c>
      <c r="M87" s="105">
        <v>19</v>
      </c>
      <c r="N87" s="106">
        <v>37</v>
      </c>
      <c r="O87" s="106">
        <v>70</v>
      </c>
      <c r="P87" s="126">
        <v>0</v>
      </c>
      <c r="Q87" s="106">
        <v>27</v>
      </c>
      <c r="R87" s="127">
        <v>26</v>
      </c>
      <c r="S87" s="126">
        <v>0</v>
      </c>
      <c r="T87" s="106">
        <v>22</v>
      </c>
      <c r="U87" s="127">
        <v>23</v>
      </c>
      <c r="V87" s="106">
        <v>0</v>
      </c>
      <c r="W87" s="106">
        <v>8</v>
      </c>
      <c r="X87" s="109">
        <v>21</v>
      </c>
    </row>
    <row r="88" spans="1:24" x14ac:dyDescent="0.25">
      <c r="B88">
        <v>20081212</v>
      </c>
      <c r="C88" s="103">
        <v>20579</v>
      </c>
      <c r="D88" s="108">
        <v>6970.3</v>
      </c>
      <c r="E88" s="114">
        <v>1.1951100000000001E-3</v>
      </c>
      <c r="F88" s="115">
        <v>8.3200500000000003E-4</v>
      </c>
      <c r="G88" s="132">
        <v>1.17676E-3</v>
      </c>
      <c r="H88" s="133">
        <v>8.1426399999999998E-4</v>
      </c>
      <c r="I88" s="132">
        <v>1.1727E-3</v>
      </c>
      <c r="J88" s="133">
        <v>8.0428900000000002E-4</v>
      </c>
      <c r="K88" s="115">
        <v>1.14964E-3</v>
      </c>
      <c r="L88" s="116">
        <v>7.9344400000000003E-4</v>
      </c>
      <c r="M88" s="105">
        <v>17</v>
      </c>
      <c r="N88" s="106">
        <v>15</v>
      </c>
      <c r="O88" s="106">
        <v>53</v>
      </c>
      <c r="P88" s="126">
        <v>11</v>
      </c>
      <c r="Q88" s="106">
        <v>6</v>
      </c>
      <c r="R88" s="127">
        <v>34</v>
      </c>
      <c r="S88" s="126">
        <v>13</v>
      </c>
      <c r="T88" s="106">
        <v>5</v>
      </c>
      <c r="U88" s="127">
        <v>28</v>
      </c>
      <c r="V88" s="106">
        <v>10</v>
      </c>
      <c r="W88" s="106">
        <v>3</v>
      </c>
      <c r="X88" s="109">
        <v>24</v>
      </c>
    </row>
    <row r="89" spans="1:24" x14ac:dyDescent="0.25">
      <c r="B89">
        <v>20090224</v>
      </c>
      <c r="C89" s="103">
        <v>6753.8</v>
      </c>
      <c r="D89" s="108">
        <v>5685.4</v>
      </c>
      <c r="E89" s="114">
        <v>4.9159200000000001E-4</v>
      </c>
      <c r="F89" s="115">
        <v>4.21376E-4</v>
      </c>
      <c r="G89" s="132">
        <v>4.8502799999999998E-4</v>
      </c>
      <c r="H89" s="133">
        <v>4.0578199999999999E-4</v>
      </c>
      <c r="I89" s="132">
        <v>4.5110300000000001E-4</v>
      </c>
      <c r="J89" s="133">
        <v>3.7492100000000001E-4</v>
      </c>
      <c r="K89" s="115">
        <v>3.57E-4</v>
      </c>
      <c r="L89" s="116">
        <v>3.0409000000000002E-4</v>
      </c>
      <c r="M89" s="105">
        <v>2</v>
      </c>
      <c r="N89" s="106">
        <v>16</v>
      </c>
      <c r="O89" s="106">
        <v>48</v>
      </c>
      <c r="P89" s="126">
        <v>3</v>
      </c>
      <c r="Q89" s="106">
        <v>3</v>
      </c>
      <c r="R89" s="127">
        <v>41</v>
      </c>
      <c r="S89" s="126">
        <v>7</v>
      </c>
      <c r="T89" s="106">
        <v>3</v>
      </c>
      <c r="U89" s="127">
        <v>28</v>
      </c>
      <c r="V89" s="106">
        <v>3</v>
      </c>
      <c r="W89" s="106">
        <v>3</v>
      </c>
      <c r="X89" s="109">
        <v>11</v>
      </c>
    </row>
    <row r="90" spans="1:24" x14ac:dyDescent="0.25">
      <c r="B90">
        <v>20090639</v>
      </c>
      <c r="C90" s="103">
        <v>28780.1</v>
      </c>
      <c r="D90" s="108">
        <v>7018.1</v>
      </c>
      <c r="E90" s="114">
        <v>3.3108599999999997E-5</v>
      </c>
      <c r="F90" s="115">
        <v>1.76199E-5</v>
      </c>
      <c r="G90" s="132">
        <v>2.39316E-5</v>
      </c>
      <c r="H90" s="133">
        <v>8.5772199999999995E-6</v>
      </c>
      <c r="I90" s="132">
        <v>2.39316E-5</v>
      </c>
      <c r="J90" s="133">
        <v>6.4495400000000001E-6</v>
      </c>
      <c r="K90" s="115">
        <v>2.3818100000000002E-5</v>
      </c>
      <c r="L90" s="116">
        <v>6.4495400000000001E-6</v>
      </c>
      <c r="M90" s="105">
        <v>10</v>
      </c>
      <c r="N90" s="106">
        <v>11</v>
      </c>
      <c r="O90" s="106">
        <v>10</v>
      </c>
      <c r="P90" s="126">
        <v>1</v>
      </c>
      <c r="Q90" s="106">
        <v>4</v>
      </c>
      <c r="R90" s="127">
        <v>2</v>
      </c>
      <c r="S90" s="126">
        <v>1</v>
      </c>
      <c r="T90" s="106">
        <v>3</v>
      </c>
      <c r="U90" s="127">
        <v>2</v>
      </c>
      <c r="V90" s="106">
        <v>1</v>
      </c>
      <c r="W90" s="106">
        <v>4</v>
      </c>
      <c r="X90" s="109">
        <v>1</v>
      </c>
    </row>
    <row r="91" spans="1:24" x14ac:dyDescent="0.25">
      <c r="B91">
        <v>20090816</v>
      </c>
      <c r="C91" s="103">
        <v>17292</v>
      </c>
      <c r="D91" s="108">
        <v>5128.8999999999996</v>
      </c>
      <c r="E91" s="114">
        <v>8.2252399999999999E-5</v>
      </c>
      <c r="F91" s="115">
        <v>1.9379299999999999E-4</v>
      </c>
      <c r="G91" s="132">
        <v>5.1137899999999997E-5</v>
      </c>
      <c r="H91" s="133">
        <v>1.4129600000000001E-4</v>
      </c>
      <c r="I91" s="132">
        <v>4.6415400000000003E-5</v>
      </c>
      <c r="J91" s="133">
        <v>1.15639E-4</v>
      </c>
      <c r="K91" s="115">
        <v>2.9009600000000001E-5</v>
      </c>
      <c r="L91" s="116">
        <v>6.6963099999999996E-5</v>
      </c>
      <c r="M91" s="105">
        <v>12</v>
      </c>
      <c r="N91" s="106">
        <v>53</v>
      </c>
      <c r="O91" s="106">
        <v>113</v>
      </c>
      <c r="P91" s="126">
        <v>0</v>
      </c>
      <c r="Q91" s="106">
        <v>12</v>
      </c>
      <c r="R91" s="127">
        <v>80</v>
      </c>
      <c r="S91" s="126">
        <v>3</v>
      </c>
      <c r="T91" s="106">
        <v>6</v>
      </c>
      <c r="U91" s="127">
        <v>58</v>
      </c>
      <c r="V91" s="106">
        <v>2</v>
      </c>
      <c r="W91" s="106">
        <v>3</v>
      </c>
      <c r="X91" s="109">
        <v>26</v>
      </c>
    </row>
    <row r="92" spans="1:24" x14ac:dyDescent="0.25">
      <c r="B92">
        <v>20091349</v>
      </c>
      <c r="C92" s="103">
        <v>36389.699999999997</v>
      </c>
      <c r="D92" s="108">
        <v>7092.8</v>
      </c>
      <c r="E92" s="114">
        <v>4.34197E-5</v>
      </c>
      <c r="F92" s="115">
        <v>5.1316200000000002E-5</v>
      </c>
      <c r="G92" s="132">
        <v>7.2579899999999999E-6</v>
      </c>
      <c r="H92" s="133">
        <v>1.2500100000000001E-5</v>
      </c>
      <c r="I92" s="132">
        <v>8.20691E-7</v>
      </c>
      <c r="J92" s="133">
        <v>8.0921800000000005E-6</v>
      </c>
      <c r="K92" s="115">
        <v>5.6422499999999999E-7</v>
      </c>
      <c r="L92" s="116">
        <v>3.55266E-6</v>
      </c>
      <c r="M92" s="105">
        <v>53</v>
      </c>
      <c r="N92" s="106">
        <v>36</v>
      </c>
      <c r="O92" s="106">
        <v>50</v>
      </c>
      <c r="P92" s="126">
        <v>1</v>
      </c>
      <c r="Q92" s="106">
        <v>4</v>
      </c>
      <c r="R92" s="127">
        <v>9</v>
      </c>
      <c r="S92" s="126">
        <v>0</v>
      </c>
      <c r="T92" s="106">
        <v>4</v>
      </c>
      <c r="U92" s="127">
        <v>6</v>
      </c>
      <c r="V92" s="106">
        <v>0</v>
      </c>
      <c r="W92" s="106">
        <v>2</v>
      </c>
      <c r="X92" s="109">
        <v>4</v>
      </c>
    </row>
    <row r="93" spans="1:24" x14ac:dyDescent="0.25">
      <c r="B93">
        <v>20091939</v>
      </c>
      <c r="C93" s="103">
        <v>33309.300000000003</v>
      </c>
      <c r="D93" s="108">
        <v>7133.6</v>
      </c>
      <c r="E93" s="114">
        <v>3.2165100000000001E-5</v>
      </c>
      <c r="F93" s="115">
        <v>4.0425500000000001E-5</v>
      </c>
      <c r="G93" s="132">
        <v>1.34908E-5</v>
      </c>
      <c r="H93" s="133">
        <v>1.9035300000000001E-5</v>
      </c>
      <c r="I93" s="132">
        <v>1.0604900000000001E-5</v>
      </c>
      <c r="J93" s="133">
        <v>1.34097E-5</v>
      </c>
      <c r="K93" s="115">
        <v>7.2707599999999997E-6</v>
      </c>
      <c r="L93" s="116">
        <v>9.5503500000000008E-6</v>
      </c>
      <c r="M93" s="105">
        <v>16</v>
      </c>
      <c r="N93" s="106">
        <v>21</v>
      </c>
      <c r="O93" s="106">
        <v>30</v>
      </c>
      <c r="P93" s="126">
        <v>0</v>
      </c>
      <c r="Q93" s="106">
        <v>4</v>
      </c>
      <c r="R93" s="127">
        <v>9</v>
      </c>
      <c r="S93" s="126">
        <v>0</v>
      </c>
      <c r="T93" s="106">
        <v>4</v>
      </c>
      <c r="U93" s="127">
        <v>6</v>
      </c>
      <c r="V93" s="106">
        <v>0</v>
      </c>
      <c r="W93" s="106">
        <v>4</v>
      </c>
      <c r="X93" s="109">
        <v>3</v>
      </c>
    </row>
    <row r="94" spans="1:24" x14ac:dyDescent="0.25">
      <c r="B94">
        <v>20091940</v>
      </c>
      <c r="C94" s="103">
        <v>19142.900000000001</v>
      </c>
      <c r="D94" s="108">
        <v>6896.3</v>
      </c>
      <c r="E94" s="114">
        <v>1.11181E-4</v>
      </c>
      <c r="F94" s="115">
        <v>1.19969E-4</v>
      </c>
      <c r="G94" s="132">
        <v>5.5480599999999999E-5</v>
      </c>
      <c r="H94" s="133">
        <v>8.0317900000000006E-5</v>
      </c>
      <c r="I94" s="132">
        <v>3.2103700000000002E-5</v>
      </c>
      <c r="J94" s="133">
        <v>4.9327499999999998E-5</v>
      </c>
      <c r="K94" s="115">
        <v>1.8745399999999998E-5</v>
      </c>
      <c r="L94" s="116">
        <v>2.71335E-5</v>
      </c>
      <c r="M94" s="105">
        <v>17</v>
      </c>
      <c r="N94" s="106">
        <v>18</v>
      </c>
      <c r="O94" s="106">
        <v>75</v>
      </c>
      <c r="P94" s="126">
        <v>3</v>
      </c>
      <c r="Q94" s="106">
        <v>18</v>
      </c>
      <c r="R94" s="127">
        <v>17</v>
      </c>
      <c r="S94" s="126">
        <v>1</v>
      </c>
      <c r="T94" s="106">
        <v>6</v>
      </c>
      <c r="U94" s="127">
        <v>10</v>
      </c>
      <c r="V94" s="106">
        <v>1</v>
      </c>
      <c r="W94" s="106">
        <v>4</v>
      </c>
      <c r="X94" s="109">
        <v>4</v>
      </c>
    </row>
    <row r="95" spans="1:24" x14ac:dyDescent="0.25">
      <c r="C95" s="105"/>
      <c r="D95" s="109"/>
      <c r="E95" s="105"/>
      <c r="F95" s="106"/>
      <c r="G95" s="126"/>
      <c r="H95" s="127"/>
      <c r="I95" s="126"/>
      <c r="J95" s="127"/>
      <c r="K95" s="106"/>
      <c r="L95" s="109"/>
      <c r="M95" s="105"/>
      <c r="N95" s="106"/>
      <c r="O95" s="106"/>
      <c r="P95" s="126"/>
      <c r="Q95" s="106"/>
      <c r="R95" s="127"/>
      <c r="S95" s="126"/>
      <c r="T95" s="106"/>
      <c r="U95" s="127"/>
      <c r="V95" s="106"/>
      <c r="W95" s="106"/>
      <c r="X95" s="109"/>
    </row>
    <row r="96" spans="1:24" x14ac:dyDescent="0.25">
      <c r="A96" t="s">
        <v>1094</v>
      </c>
      <c r="B96">
        <v>20080194</v>
      </c>
      <c r="C96" s="103">
        <v>26066.799999999999</v>
      </c>
      <c r="D96" s="108">
        <v>7278.9</v>
      </c>
      <c r="E96" s="114">
        <v>2.3702000000000001E-5</v>
      </c>
      <c r="F96" s="115">
        <v>2.6808599999999999E-5</v>
      </c>
      <c r="G96" s="132">
        <v>4.887E-6</v>
      </c>
      <c r="H96" s="133">
        <v>2.9433700000000001E-6</v>
      </c>
      <c r="I96" s="132">
        <v>4.887E-6</v>
      </c>
      <c r="J96" s="133">
        <v>2.9433700000000001E-6</v>
      </c>
      <c r="K96" s="117">
        <v>1.9999999999999999E-7</v>
      </c>
      <c r="L96" s="118">
        <v>1.9999999999999999E-7</v>
      </c>
      <c r="M96" s="105">
        <v>20</v>
      </c>
      <c r="N96" s="106">
        <v>20</v>
      </c>
      <c r="O96" s="106">
        <v>20</v>
      </c>
      <c r="P96" s="126">
        <v>0</v>
      </c>
      <c r="Q96" s="106">
        <v>0</v>
      </c>
      <c r="R96" s="127">
        <v>1</v>
      </c>
      <c r="S96" s="126">
        <v>0</v>
      </c>
      <c r="T96" s="106">
        <v>0</v>
      </c>
      <c r="U96" s="127">
        <v>1</v>
      </c>
      <c r="V96" s="106">
        <v>0</v>
      </c>
      <c r="W96" s="106">
        <v>0</v>
      </c>
      <c r="X96" s="109">
        <v>0</v>
      </c>
    </row>
    <row r="97" spans="2:24" x14ac:dyDescent="0.25">
      <c r="B97">
        <v>20080341</v>
      </c>
      <c r="C97" s="103">
        <v>8162.3</v>
      </c>
      <c r="D97" s="108">
        <v>3824.5</v>
      </c>
      <c r="E97" s="114">
        <v>1.70612E-4</v>
      </c>
      <c r="F97" s="115">
        <v>1.6790500000000001E-4</v>
      </c>
      <c r="G97" s="132">
        <v>1.5812700000000001E-4</v>
      </c>
      <c r="H97" s="133">
        <v>1.5412800000000001E-4</v>
      </c>
      <c r="I97" s="132">
        <v>1.5812700000000001E-4</v>
      </c>
      <c r="J97" s="133">
        <v>1.5321900000000001E-4</v>
      </c>
      <c r="K97" s="115">
        <v>1.5684999999999999E-4</v>
      </c>
      <c r="L97" s="116">
        <v>1.49283E-4</v>
      </c>
      <c r="M97" s="105">
        <v>1</v>
      </c>
      <c r="N97" s="106">
        <v>8</v>
      </c>
      <c r="O97" s="106">
        <v>12</v>
      </c>
      <c r="P97" s="126">
        <v>0</v>
      </c>
      <c r="Q97" s="106">
        <v>5</v>
      </c>
      <c r="R97" s="127">
        <v>6</v>
      </c>
      <c r="S97" s="126">
        <v>0</v>
      </c>
      <c r="T97" s="106">
        <v>3</v>
      </c>
      <c r="U97" s="127">
        <v>6</v>
      </c>
      <c r="V97" s="106">
        <v>0</v>
      </c>
      <c r="W97" s="106">
        <v>0</v>
      </c>
      <c r="X97" s="109">
        <v>3</v>
      </c>
    </row>
    <row r="98" spans="2:24" x14ac:dyDescent="0.25">
      <c r="B98">
        <v>20080684</v>
      </c>
      <c r="C98" s="103">
        <v>4452.3</v>
      </c>
      <c r="D98" s="108">
        <v>4041.4</v>
      </c>
      <c r="E98" s="114">
        <v>3.8105699999999997E-5</v>
      </c>
      <c r="F98" s="115">
        <v>4.31259E-5</v>
      </c>
      <c r="G98" s="132">
        <v>3.8105699999999997E-5</v>
      </c>
      <c r="H98" s="133">
        <v>3.9830599999999998E-5</v>
      </c>
      <c r="I98" s="132">
        <v>3.3163700000000002E-5</v>
      </c>
      <c r="J98" s="133">
        <v>3.3669700000000001E-5</v>
      </c>
      <c r="K98" s="115">
        <v>1.6907E-6</v>
      </c>
      <c r="L98" s="116">
        <v>1.86258E-6</v>
      </c>
      <c r="M98" s="105">
        <v>0</v>
      </c>
      <c r="N98" s="106">
        <v>7</v>
      </c>
      <c r="O98" s="106">
        <v>10</v>
      </c>
      <c r="P98" s="126">
        <v>0</v>
      </c>
      <c r="Q98" s="106">
        <v>1</v>
      </c>
      <c r="R98" s="127">
        <v>10</v>
      </c>
      <c r="S98" s="126">
        <v>0</v>
      </c>
      <c r="T98" s="106">
        <v>0</v>
      </c>
      <c r="U98" s="127">
        <v>8</v>
      </c>
      <c r="V98" s="106">
        <v>0</v>
      </c>
      <c r="W98" s="106">
        <v>0</v>
      </c>
      <c r="X98" s="109">
        <v>1</v>
      </c>
    </row>
    <row r="99" spans="2:24" x14ac:dyDescent="0.25">
      <c r="B99">
        <v>20080698</v>
      </c>
      <c r="C99" s="103">
        <v>2321.8000000000002</v>
      </c>
      <c r="D99" s="108">
        <v>2311.8000000000002</v>
      </c>
      <c r="E99" s="114">
        <v>1.11975E-4</v>
      </c>
      <c r="F99" s="115">
        <v>1.16217E-4</v>
      </c>
      <c r="G99" s="132">
        <v>9.4019300000000003E-5</v>
      </c>
      <c r="H99" s="133">
        <v>9.5929399999999997E-5</v>
      </c>
      <c r="I99" s="132">
        <v>9.02785E-5</v>
      </c>
      <c r="J99" s="133">
        <v>9.2172300000000005E-5</v>
      </c>
      <c r="K99" s="115">
        <v>3.5163699999999997E-5</v>
      </c>
      <c r="L99" s="116">
        <v>3.5315999999999999E-5</v>
      </c>
      <c r="M99" s="105">
        <v>0</v>
      </c>
      <c r="N99" s="106">
        <v>4</v>
      </c>
      <c r="O99" s="106">
        <v>16</v>
      </c>
      <c r="P99" s="126">
        <v>0</v>
      </c>
      <c r="Q99" s="106">
        <v>2</v>
      </c>
      <c r="R99" s="127">
        <v>10</v>
      </c>
      <c r="S99" s="126">
        <v>0</v>
      </c>
      <c r="T99" s="106">
        <v>2</v>
      </c>
      <c r="U99" s="127">
        <v>9</v>
      </c>
      <c r="V99" s="106">
        <v>0</v>
      </c>
      <c r="W99" s="106">
        <v>0</v>
      </c>
      <c r="X99" s="109">
        <v>4</v>
      </c>
    </row>
    <row r="100" spans="2:24" x14ac:dyDescent="0.25">
      <c r="B100">
        <v>20080719</v>
      </c>
      <c r="C100" s="103">
        <v>4520.2</v>
      </c>
      <c r="D100" s="108">
        <v>4093.1</v>
      </c>
      <c r="E100" s="114">
        <v>6.6227899999999997E-5</v>
      </c>
      <c r="F100" s="115">
        <v>6.9884799999999999E-5</v>
      </c>
      <c r="G100" s="132">
        <v>5.9054300000000001E-5</v>
      </c>
      <c r="H100" s="133">
        <v>5.8001499999999997E-5</v>
      </c>
      <c r="I100" s="132">
        <v>5.0855900000000002E-5</v>
      </c>
      <c r="J100" s="133">
        <v>5.1635499999999997E-5</v>
      </c>
      <c r="K100" s="115">
        <v>1.38349E-5</v>
      </c>
      <c r="L100" s="116">
        <v>1.5136999999999999E-5</v>
      </c>
      <c r="M100" s="105">
        <v>0</v>
      </c>
      <c r="N100" s="106">
        <v>5</v>
      </c>
      <c r="O100" s="106">
        <v>17</v>
      </c>
      <c r="P100" s="126">
        <v>1</v>
      </c>
      <c r="Q100" s="106">
        <v>1</v>
      </c>
      <c r="R100" s="127">
        <v>12</v>
      </c>
      <c r="S100" s="126">
        <v>0</v>
      </c>
      <c r="T100" s="106">
        <v>0</v>
      </c>
      <c r="U100" s="127">
        <v>10</v>
      </c>
      <c r="V100" s="106">
        <v>0</v>
      </c>
      <c r="W100" s="106">
        <v>0</v>
      </c>
      <c r="X100" s="109">
        <v>3</v>
      </c>
    </row>
    <row r="101" spans="2:24" x14ac:dyDescent="0.25">
      <c r="B101">
        <v>20080832</v>
      </c>
      <c r="C101" s="103">
        <v>6006.6</v>
      </c>
      <c r="D101" s="108">
        <v>4161.1000000000004</v>
      </c>
      <c r="E101" s="114">
        <v>3.3740199999999999E-5</v>
      </c>
      <c r="F101" s="115">
        <v>3.6736899999999997E-5</v>
      </c>
      <c r="G101" s="132">
        <v>8.3868400000000002E-6</v>
      </c>
      <c r="H101" s="133">
        <v>8.0709799999999998E-6</v>
      </c>
      <c r="I101" s="132">
        <v>4.1452200000000003E-6</v>
      </c>
      <c r="J101" s="133">
        <v>2.08732E-6</v>
      </c>
      <c r="K101" s="117">
        <v>1.9999999999999999E-7</v>
      </c>
      <c r="L101" s="118">
        <v>1.9999999999999999E-7</v>
      </c>
      <c r="M101" s="105">
        <v>3</v>
      </c>
      <c r="N101" s="106">
        <v>10</v>
      </c>
      <c r="O101" s="106">
        <v>16</v>
      </c>
      <c r="P101" s="126">
        <v>1</v>
      </c>
      <c r="Q101" s="106">
        <v>1</v>
      </c>
      <c r="R101" s="127">
        <v>5</v>
      </c>
      <c r="S101" s="126">
        <v>1</v>
      </c>
      <c r="T101" s="106">
        <v>0</v>
      </c>
      <c r="U101" s="127">
        <v>2</v>
      </c>
      <c r="V101" s="106">
        <v>0</v>
      </c>
      <c r="W101" s="106">
        <v>0</v>
      </c>
      <c r="X101" s="109">
        <v>0</v>
      </c>
    </row>
    <row r="102" spans="2:24" x14ac:dyDescent="0.25">
      <c r="B102">
        <v>20080857</v>
      </c>
      <c r="C102" s="103">
        <v>6151.8</v>
      </c>
      <c r="D102" s="108">
        <v>3565.4</v>
      </c>
      <c r="E102" s="114">
        <v>6.74874E-5</v>
      </c>
      <c r="F102" s="115">
        <v>7.6168799999999995E-5</v>
      </c>
      <c r="G102" s="132">
        <v>5.6286599999999997E-5</v>
      </c>
      <c r="H102" s="133">
        <v>6.2364200000000002E-5</v>
      </c>
      <c r="I102" s="132">
        <v>5.55336E-5</v>
      </c>
      <c r="J102" s="133">
        <v>6.1064900000000006E-5</v>
      </c>
      <c r="K102" s="115">
        <v>4.8097699999999999E-5</v>
      </c>
      <c r="L102" s="116">
        <v>5.2782199999999998E-5</v>
      </c>
      <c r="M102" s="105">
        <v>2</v>
      </c>
      <c r="N102" s="106">
        <v>13</v>
      </c>
      <c r="O102" s="106">
        <v>11</v>
      </c>
      <c r="P102" s="126">
        <v>0</v>
      </c>
      <c r="Q102" s="106">
        <v>6</v>
      </c>
      <c r="R102" s="127">
        <v>6</v>
      </c>
      <c r="S102" s="126">
        <v>0</v>
      </c>
      <c r="T102" s="106">
        <v>6</v>
      </c>
      <c r="U102" s="127">
        <v>5</v>
      </c>
      <c r="V102" s="106">
        <v>0</v>
      </c>
      <c r="W102" s="106">
        <v>6</v>
      </c>
      <c r="X102" s="109">
        <v>4</v>
      </c>
    </row>
    <row r="103" spans="2:24" x14ac:dyDescent="0.25">
      <c r="B103">
        <v>20080860</v>
      </c>
      <c r="C103" s="103">
        <v>3573</v>
      </c>
      <c r="D103" s="108">
        <v>3357.8</v>
      </c>
      <c r="E103" s="114">
        <v>4.6025400000000002E-5</v>
      </c>
      <c r="F103" s="115">
        <v>6.8805600000000004E-5</v>
      </c>
      <c r="G103" s="132">
        <v>3.0629600000000002E-5</v>
      </c>
      <c r="H103" s="133">
        <v>3.6558399999999999E-5</v>
      </c>
      <c r="I103" s="132">
        <v>2.8522800000000001E-5</v>
      </c>
      <c r="J103" s="133">
        <v>3.2937E-5</v>
      </c>
      <c r="K103" s="115">
        <v>2.18783E-5</v>
      </c>
      <c r="L103" s="116">
        <v>2.3107699999999999E-5</v>
      </c>
      <c r="M103" s="105">
        <v>0</v>
      </c>
      <c r="N103" s="106">
        <v>25</v>
      </c>
      <c r="O103" s="106">
        <v>14</v>
      </c>
      <c r="P103" s="126">
        <v>0</v>
      </c>
      <c r="Q103" s="106">
        <v>6</v>
      </c>
      <c r="R103" s="127">
        <v>7</v>
      </c>
      <c r="S103" s="126">
        <v>0</v>
      </c>
      <c r="T103" s="106">
        <v>3</v>
      </c>
      <c r="U103" s="127">
        <v>5</v>
      </c>
      <c r="V103" s="106">
        <v>0</v>
      </c>
      <c r="W103" s="106">
        <v>0</v>
      </c>
      <c r="X103" s="109">
        <v>2</v>
      </c>
    </row>
    <row r="104" spans="2:24" x14ac:dyDescent="0.25">
      <c r="B104">
        <v>20080867</v>
      </c>
      <c r="C104" s="103">
        <v>7271.5</v>
      </c>
      <c r="D104" s="108">
        <v>4377.5</v>
      </c>
      <c r="E104" s="114">
        <v>4.2363800000000003E-5</v>
      </c>
      <c r="F104" s="115">
        <v>5.5953399999999999E-5</v>
      </c>
      <c r="G104" s="132">
        <v>2.7870900000000001E-5</v>
      </c>
      <c r="H104" s="133">
        <v>3.8625099999999997E-5</v>
      </c>
      <c r="I104" s="132">
        <v>2.36505E-5</v>
      </c>
      <c r="J104" s="133">
        <v>3.1482100000000001E-5</v>
      </c>
      <c r="K104" s="115">
        <v>2.36505E-5</v>
      </c>
      <c r="L104" s="116">
        <v>3.1482100000000001E-5</v>
      </c>
      <c r="M104" s="105">
        <v>2</v>
      </c>
      <c r="N104" s="106">
        <v>6</v>
      </c>
      <c r="O104" s="106">
        <v>14</v>
      </c>
      <c r="P104" s="126">
        <v>0</v>
      </c>
      <c r="Q104" s="106">
        <v>1</v>
      </c>
      <c r="R104" s="127">
        <v>4</v>
      </c>
      <c r="S104" s="126">
        <v>0</v>
      </c>
      <c r="T104" s="106">
        <v>0</v>
      </c>
      <c r="U104" s="127">
        <v>2</v>
      </c>
      <c r="V104" s="106">
        <v>0</v>
      </c>
      <c r="W104" s="106">
        <v>0</v>
      </c>
      <c r="X104" s="109">
        <v>2</v>
      </c>
    </row>
    <row r="105" spans="2:24" x14ac:dyDescent="0.25">
      <c r="B105">
        <v>20080869</v>
      </c>
      <c r="C105" s="103">
        <v>32689.5</v>
      </c>
      <c r="D105" s="108">
        <v>4040.1</v>
      </c>
      <c r="E105" s="114">
        <v>1.5499099999999999E-5</v>
      </c>
      <c r="F105" s="115">
        <v>4.4716599999999998E-5</v>
      </c>
      <c r="G105" s="132">
        <v>1.29307E-6</v>
      </c>
      <c r="H105" s="133">
        <v>1.7198699999999998E-5</v>
      </c>
      <c r="I105" s="132">
        <v>1.29307E-6</v>
      </c>
      <c r="J105" s="133">
        <v>1.3615600000000001E-5</v>
      </c>
      <c r="K105" s="115">
        <v>1.29307E-6</v>
      </c>
      <c r="L105" s="116">
        <v>1.1895800000000001E-5</v>
      </c>
      <c r="M105" s="105">
        <v>11</v>
      </c>
      <c r="N105" s="106">
        <v>23</v>
      </c>
      <c r="O105" s="106">
        <v>19</v>
      </c>
      <c r="P105" s="126">
        <v>0</v>
      </c>
      <c r="Q105" s="106">
        <v>10</v>
      </c>
      <c r="R105" s="127">
        <v>9</v>
      </c>
      <c r="S105" s="126">
        <v>0</v>
      </c>
      <c r="T105" s="106">
        <v>9</v>
      </c>
      <c r="U105" s="127">
        <v>9</v>
      </c>
      <c r="V105" s="106">
        <v>0</v>
      </c>
      <c r="W105" s="106">
        <v>5</v>
      </c>
      <c r="X105" s="109">
        <v>9</v>
      </c>
    </row>
    <row r="106" spans="2:24" x14ac:dyDescent="0.25">
      <c r="B106">
        <v>20080933</v>
      </c>
      <c r="C106" s="103">
        <v>3259.7</v>
      </c>
      <c r="D106" s="108">
        <v>3247.3</v>
      </c>
      <c r="E106" s="114">
        <v>6.6038700000000004E-3</v>
      </c>
      <c r="F106" s="115">
        <v>5.5777500000000002E-3</v>
      </c>
      <c r="G106" s="132">
        <v>6.5953399999999999E-3</v>
      </c>
      <c r="H106" s="133">
        <v>5.5599200000000003E-3</v>
      </c>
      <c r="I106" s="132">
        <v>6.5953399999999999E-3</v>
      </c>
      <c r="J106" s="133">
        <v>5.5590300000000004E-3</v>
      </c>
      <c r="K106" s="115">
        <v>6.5859300000000003E-3</v>
      </c>
      <c r="L106" s="116">
        <v>5.54887E-3</v>
      </c>
      <c r="M106" s="105">
        <v>5</v>
      </c>
      <c r="N106" s="106">
        <v>11</v>
      </c>
      <c r="O106" s="106">
        <v>41</v>
      </c>
      <c r="P106" s="126">
        <v>5</v>
      </c>
      <c r="Q106" s="106">
        <v>2</v>
      </c>
      <c r="R106" s="127">
        <v>36</v>
      </c>
      <c r="S106" s="126">
        <v>5</v>
      </c>
      <c r="T106" s="106">
        <v>1</v>
      </c>
      <c r="U106" s="127">
        <v>36</v>
      </c>
      <c r="V106" s="106">
        <v>5</v>
      </c>
      <c r="W106" s="106">
        <v>0</v>
      </c>
      <c r="X106" s="109">
        <v>34</v>
      </c>
    </row>
    <row r="107" spans="2:24" x14ac:dyDescent="0.25">
      <c r="B107">
        <v>20080980</v>
      </c>
      <c r="C107" s="103">
        <v>12443.6</v>
      </c>
      <c r="D107" s="108">
        <v>6853</v>
      </c>
      <c r="E107" s="114">
        <v>3.9869500000000002E-4</v>
      </c>
      <c r="F107" s="115">
        <v>1.09926E-4</v>
      </c>
      <c r="G107" s="132">
        <v>3.6900700000000003E-4</v>
      </c>
      <c r="H107" s="133">
        <v>7.9931099999999998E-5</v>
      </c>
      <c r="I107" s="132">
        <v>3.4862499999999998E-4</v>
      </c>
      <c r="J107" s="133">
        <v>5.9990600000000001E-5</v>
      </c>
      <c r="K107" s="115">
        <v>3.436E-4</v>
      </c>
      <c r="L107" s="116">
        <v>5.5343400000000003E-5</v>
      </c>
      <c r="M107" s="105">
        <v>7</v>
      </c>
      <c r="N107" s="106">
        <v>6</v>
      </c>
      <c r="O107" s="106">
        <v>39</v>
      </c>
      <c r="P107" s="126">
        <v>5</v>
      </c>
      <c r="Q107" s="106">
        <v>2</v>
      </c>
      <c r="R107" s="127">
        <v>12</v>
      </c>
      <c r="S107" s="126">
        <v>2</v>
      </c>
      <c r="T107" s="106">
        <v>0</v>
      </c>
      <c r="U107" s="127">
        <v>4</v>
      </c>
      <c r="V107" s="106">
        <v>1</v>
      </c>
      <c r="W107" s="106">
        <v>0</v>
      </c>
      <c r="X107" s="109">
        <v>3</v>
      </c>
    </row>
    <row r="108" spans="2:24" x14ac:dyDescent="0.25">
      <c r="B108">
        <v>20081042</v>
      </c>
      <c r="C108" s="103">
        <v>7222.9</v>
      </c>
      <c r="D108" s="108">
        <v>5902.4</v>
      </c>
      <c r="E108" s="114">
        <v>4.8901699999999998E-6</v>
      </c>
      <c r="F108" s="115">
        <v>7.3576999999999999E-6</v>
      </c>
      <c r="G108" s="134">
        <v>1.9999999999999999E-7</v>
      </c>
      <c r="H108" s="135">
        <v>1.9999999999999999E-7</v>
      </c>
      <c r="I108" s="134">
        <v>1.9999999999999999E-7</v>
      </c>
      <c r="J108" s="135">
        <v>1.9999999999999999E-7</v>
      </c>
      <c r="K108" s="117">
        <v>1.9999999999999999E-7</v>
      </c>
      <c r="L108" s="118">
        <v>1.9999999999999999E-7</v>
      </c>
      <c r="M108" s="105">
        <v>1</v>
      </c>
      <c r="N108" s="106">
        <v>4</v>
      </c>
      <c r="O108" s="106">
        <v>4</v>
      </c>
      <c r="P108" s="126">
        <v>0</v>
      </c>
      <c r="Q108" s="106">
        <v>0</v>
      </c>
      <c r="R108" s="127">
        <v>0</v>
      </c>
      <c r="S108" s="126">
        <v>0</v>
      </c>
      <c r="T108" s="106">
        <v>0</v>
      </c>
      <c r="U108" s="127">
        <v>0</v>
      </c>
      <c r="V108" s="106">
        <v>0</v>
      </c>
      <c r="W108" s="106">
        <v>0</v>
      </c>
      <c r="X108" s="109">
        <v>0</v>
      </c>
    </row>
    <row r="109" spans="2:24" x14ac:dyDescent="0.25">
      <c r="B109">
        <v>20081054</v>
      </c>
      <c r="C109" s="103">
        <v>7987.8</v>
      </c>
      <c r="D109" s="108">
        <v>4205.5</v>
      </c>
      <c r="E109" s="114">
        <v>5.2265699999999997E-5</v>
      </c>
      <c r="F109" s="115">
        <v>5.0806700000000003E-5</v>
      </c>
      <c r="G109" s="132">
        <v>1.9644899999999999E-5</v>
      </c>
      <c r="H109" s="133">
        <v>1.7073200000000001E-5</v>
      </c>
      <c r="I109" s="132">
        <v>1.1598500000000001E-5</v>
      </c>
      <c r="J109" s="133">
        <v>1.17034E-5</v>
      </c>
      <c r="K109" s="117">
        <v>1.9999999999999999E-7</v>
      </c>
      <c r="L109" s="118">
        <v>1.9999999999999999E-7</v>
      </c>
      <c r="M109" s="105">
        <v>7</v>
      </c>
      <c r="N109" s="106">
        <v>11</v>
      </c>
      <c r="O109" s="106">
        <v>23</v>
      </c>
      <c r="P109" s="126">
        <v>2</v>
      </c>
      <c r="Q109" s="106">
        <v>2</v>
      </c>
      <c r="R109" s="127">
        <v>3</v>
      </c>
      <c r="S109" s="126">
        <v>0</v>
      </c>
      <c r="T109" s="106">
        <v>1</v>
      </c>
      <c r="U109" s="127">
        <v>1</v>
      </c>
      <c r="V109" s="106">
        <v>0</v>
      </c>
      <c r="W109" s="106">
        <v>0</v>
      </c>
      <c r="X109" s="109">
        <v>0</v>
      </c>
    </row>
    <row r="110" spans="2:24" x14ac:dyDescent="0.25">
      <c r="B110">
        <v>20081084</v>
      </c>
      <c r="C110" s="103">
        <v>410.1</v>
      </c>
      <c r="D110" s="108">
        <v>407.1</v>
      </c>
      <c r="E110" s="114">
        <v>1.58154E-4</v>
      </c>
      <c r="F110" s="115">
        <v>3.5412600000000002E-4</v>
      </c>
      <c r="G110" s="132">
        <v>1.58154E-4</v>
      </c>
      <c r="H110" s="133">
        <v>3.5412600000000002E-4</v>
      </c>
      <c r="I110" s="132">
        <v>1.58154E-4</v>
      </c>
      <c r="J110" s="133">
        <v>3.49859E-4</v>
      </c>
      <c r="K110" s="115">
        <v>1.4544499999999999E-4</v>
      </c>
      <c r="L110" s="116">
        <v>3.3137100000000001E-4</v>
      </c>
      <c r="M110" s="105">
        <v>0</v>
      </c>
      <c r="N110" s="106">
        <v>30</v>
      </c>
      <c r="O110" s="106">
        <v>6</v>
      </c>
      <c r="P110" s="126">
        <v>0</v>
      </c>
      <c r="Q110" s="106">
        <v>30</v>
      </c>
      <c r="R110" s="127">
        <v>6</v>
      </c>
      <c r="S110" s="126">
        <v>0</v>
      </c>
      <c r="T110" s="106">
        <v>29</v>
      </c>
      <c r="U110" s="127">
        <v>6</v>
      </c>
      <c r="V110" s="106">
        <v>0</v>
      </c>
      <c r="W110" s="106">
        <v>28</v>
      </c>
      <c r="X110" s="109">
        <v>5</v>
      </c>
    </row>
    <row r="111" spans="2:24" x14ac:dyDescent="0.25">
      <c r="B111">
        <v>20081149</v>
      </c>
      <c r="C111" s="103">
        <v>7274.2</v>
      </c>
      <c r="D111" s="108">
        <v>6730.9</v>
      </c>
      <c r="E111" s="114">
        <v>5.6039599999999998E-5</v>
      </c>
      <c r="F111" s="115">
        <v>6.8821300000000005E-5</v>
      </c>
      <c r="G111" s="132">
        <v>2.3004900000000001E-5</v>
      </c>
      <c r="H111" s="133">
        <v>2.71844E-5</v>
      </c>
      <c r="I111" s="132">
        <v>9.3930100000000004E-6</v>
      </c>
      <c r="J111" s="133">
        <v>8.7747099999999999E-6</v>
      </c>
      <c r="K111" s="117">
        <v>1.9999999999999999E-7</v>
      </c>
      <c r="L111" s="118">
        <v>1.9999999999999999E-7</v>
      </c>
      <c r="M111" s="105">
        <v>0</v>
      </c>
      <c r="N111" s="106">
        <v>21</v>
      </c>
      <c r="O111" s="106">
        <v>37</v>
      </c>
      <c r="P111" s="126">
        <v>0</v>
      </c>
      <c r="Q111" s="106">
        <v>2</v>
      </c>
      <c r="R111" s="127">
        <v>11</v>
      </c>
      <c r="S111" s="126">
        <v>0</v>
      </c>
      <c r="T111" s="106">
        <v>0</v>
      </c>
      <c r="U111" s="127">
        <v>4</v>
      </c>
      <c r="V111" s="106">
        <v>0</v>
      </c>
      <c r="W111" s="106">
        <v>0</v>
      </c>
      <c r="X111" s="109">
        <v>0</v>
      </c>
    </row>
    <row r="112" spans="2:24" x14ac:dyDescent="0.25">
      <c r="B112">
        <v>20081154</v>
      </c>
      <c r="C112" s="103">
        <v>22704.2</v>
      </c>
      <c r="D112" s="108">
        <v>7117.1</v>
      </c>
      <c r="E112" s="114">
        <v>5.0089000000000001E-5</v>
      </c>
      <c r="F112" s="115">
        <v>4.5479299999999997E-5</v>
      </c>
      <c r="G112" s="132">
        <v>4.1825799999999999E-6</v>
      </c>
      <c r="H112" s="133">
        <v>7.0781699999999999E-6</v>
      </c>
      <c r="I112" s="132">
        <v>2.9839100000000002E-6</v>
      </c>
      <c r="J112" s="133">
        <v>5.3696500000000003E-6</v>
      </c>
      <c r="K112" s="117">
        <v>1.9999999999999999E-7</v>
      </c>
      <c r="L112" s="118">
        <v>1.9999999999999999E-7</v>
      </c>
      <c r="M112" s="105">
        <v>25</v>
      </c>
      <c r="N112" s="106">
        <v>7</v>
      </c>
      <c r="O112" s="106">
        <v>41</v>
      </c>
      <c r="P112" s="126">
        <v>2</v>
      </c>
      <c r="Q112" s="106">
        <v>1</v>
      </c>
      <c r="R112" s="127">
        <v>1</v>
      </c>
      <c r="S112" s="126">
        <v>0</v>
      </c>
      <c r="T112" s="106">
        <v>0</v>
      </c>
      <c r="U112" s="127">
        <v>1</v>
      </c>
      <c r="V112" s="106">
        <v>0</v>
      </c>
      <c r="W112" s="106">
        <v>0</v>
      </c>
      <c r="X112" s="109">
        <v>0</v>
      </c>
    </row>
    <row r="113" spans="1:24" x14ac:dyDescent="0.25">
      <c r="B113">
        <v>20081164</v>
      </c>
      <c r="C113" s="103">
        <v>11644.5</v>
      </c>
      <c r="D113" s="108">
        <v>4231</v>
      </c>
      <c r="E113" s="114">
        <v>1.3525500000000001E-4</v>
      </c>
      <c r="F113" s="115">
        <v>8.7999599999999997E-5</v>
      </c>
      <c r="G113" s="132">
        <v>1.13724E-4</v>
      </c>
      <c r="H113" s="133">
        <v>6.56917E-5</v>
      </c>
      <c r="I113" s="132">
        <v>1.13724E-4</v>
      </c>
      <c r="J113" s="133">
        <v>6.2270300000000006E-5</v>
      </c>
      <c r="K113" s="115">
        <v>1.1347499999999999E-4</v>
      </c>
      <c r="L113" s="116">
        <v>6.1586000000000003E-5</v>
      </c>
      <c r="M113" s="105">
        <v>5</v>
      </c>
      <c r="N113" s="106">
        <v>5</v>
      </c>
      <c r="O113" s="106">
        <v>17</v>
      </c>
      <c r="P113" s="126">
        <v>1</v>
      </c>
      <c r="Q113" s="106">
        <v>1</v>
      </c>
      <c r="R113" s="127">
        <v>6</v>
      </c>
      <c r="S113" s="126">
        <v>1</v>
      </c>
      <c r="T113" s="106">
        <v>0</v>
      </c>
      <c r="U113" s="127">
        <v>6</v>
      </c>
      <c r="V113" s="106">
        <v>1</v>
      </c>
      <c r="W113" s="106">
        <v>0</v>
      </c>
      <c r="X113" s="109">
        <v>5</v>
      </c>
    </row>
    <row r="114" spans="1:24" x14ac:dyDescent="0.25">
      <c r="B114">
        <v>20081170</v>
      </c>
      <c r="C114" s="103">
        <v>2710.7</v>
      </c>
      <c r="D114" s="108">
        <v>2693.9</v>
      </c>
      <c r="E114" s="114">
        <v>1.3286600000000001E-4</v>
      </c>
      <c r="F114" s="115">
        <v>1.5432900000000001E-4</v>
      </c>
      <c r="G114" s="132">
        <v>1.27312E-4</v>
      </c>
      <c r="H114" s="133">
        <v>1.25957E-4</v>
      </c>
      <c r="I114" s="132">
        <v>8.8007600000000001E-5</v>
      </c>
      <c r="J114" s="133">
        <v>8.8341600000000001E-5</v>
      </c>
      <c r="K114" s="115">
        <v>1.6234400000000002E-5</v>
      </c>
      <c r="L114" s="116">
        <v>1.63357E-5</v>
      </c>
      <c r="M114" s="105">
        <v>0</v>
      </c>
      <c r="N114" s="106">
        <v>19</v>
      </c>
      <c r="O114" s="106">
        <v>40</v>
      </c>
      <c r="P114" s="126">
        <v>2</v>
      </c>
      <c r="Q114" s="106">
        <v>3</v>
      </c>
      <c r="R114" s="127">
        <v>35</v>
      </c>
      <c r="S114" s="126">
        <v>0</v>
      </c>
      <c r="T114" s="106">
        <v>1</v>
      </c>
      <c r="U114" s="127">
        <v>19</v>
      </c>
      <c r="V114" s="106">
        <v>0</v>
      </c>
      <c r="W114" s="106">
        <v>0</v>
      </c>
      <c r="X114" s="109">
        <v>5</v>
      </c>
    </row>
    <row r="115" spans="1:24" x14ac:dyDescent="0.25">
      <c r="B115">
        <v>20081207</v>
      </c>
      <c r="C115" s="103">
        <v>25460.2</v>
      </c>
      <c r="D115" s="108">
        <v>5950.9</v>
      </c>
      <c r="E115" s="114">
        <v>4.6418200000000002E-5</v>
      </c>
      <c r="F115" s="115">
        <v>6.0522400000000002E-5</v>
      </c>
      <c r="G115" s="132">
        <v>1.34638E-5</v>
      </c>
      <c r="H115" s="133">
        <v>2.2379699999999999E-5</v>
      </c>
      <c r="I115" s="137">
        <v>8.4148600000000005E-7</v>
      </c>
      <c r="J115" s="133">
        <v>1.17736E-5</v>
      </c>
      <c r="K115" s="117">
        <v>1.9999999999999999E-7</v>
      </c>
      <c r="L115" s="118">
        <v>1.9999999999999999E-7</v>
      </c>
      <c r="M115" s="105">
        <v>12</v>
      </c>
      <c r="N115" s="106">
        <v>12</v>
      </c>
      <c r="O115" s="106">
        <v>33</v>
      </c>
      <c r="P115" s="126">
        <v>2</v>
      </c>
      <c r="Q115" s="106">
        <v>1</v>
      </c>
      <c r="R115" s="127">
        <v>7</v>
      </c>
      <c r="S115" s="126">
        <v>0</v>
      </c>
      <c r="T115" s="106">
        <v>2</v>
      </c>
      <c r="U115" s="127">
        <v>2</v>
      </c>
      <c r="V115" s="106">
        <v>0</v>
      </c>
      <c r="W115" s="106">
        <v>0</v>
      </c>
      <c r="X115" s="109">
        <v>0</v>
      </c>
    </row>
    <row r="116" spans="1:24" x14ac:dyDescent="0.25">
      <c r="B116">
        <v>20081212</v>
      </c>
      <c r="C116" s="103">
        <v>672.8</v>
      </c>
      <c r="D116" s="108">
        <v>670.4</v>
      </c>
      <c r="E116" s="114">
        <v>2.0569699999999999E-4</v>
      </c>
      <c r="F116" s="115">
        <v>2.4183399999999999E-4</v>
      </c>
      <c r="G116" s="132">
        <v>2.0569699999999999E-4</v>
      </c>
      <c r="H116" s="133">
        <v>2.3665099999999999E-4</v>
      </c>
      <c r="I116" s="132">
        <v>1.99672E-4</v>
      </c>
      <c r="J116" s="133">
        <v>2.3060600000000001E-4</v>
      </c>
      <c r="K116" s="115">
        <v>1.2995899999999999E-4</v>
      </c>
      <c r="L116" s="116">
        <v>1.5546399999999999E-4</v>
      </c>
      <c r="M116" s="105">
        <v>0</v>
      </c>
      <c r="N116" s="106">
        <v>12</v>
      </c>
      <c r="O116" s="106">
        <v>21</v>
      </c>
      <c r="P116" s="126">
        <v>0</v>
      </c>
      <c r="Q116" s="106">
        <v>10</v>
      </c>
      <c r="R116" s="127">
        <v>21</v>
      </c>
      <c r="S116" s="126">
        <v>0</v>
      </c>
      <c r="T116" s="106">
        <v>10</v>
      </c>
      <c r="U116" s="127">
        <v>20</v>
      </c>
      <c r="V116" s="106">
        <v>0</v>
      </c>
      <c r="W116" s="106">
        <v>7</v>
      </c>
      <c r="X116" s="109">
        <v>11</v>
      </c>
    </row>
    <row r="117" spans="1:24" x14ac:dyDescent="0.25">
      <c r="B117">
        <v>20090224</v>
      </c>
      <c r="C117" s="103">
        <v>20101.099999999999</v>
      </c>
      <c r="D117" s="108">
        <v>7087.6</v>
      </c>
      <c r="E117" s="114">
        <v>4.3823000000000001E-4</v>
      </c>
      <c r="F117" s="115">
        <v>3.7311400000000002E-4</v>
      </c>
      <c r="G117" s="132">
        <v>4.2175300000000003E-4</v>
      </c>
      <c r="H117" s="133">
        <v>3.5652900000000001E-4</v>
      </c>
      <c r="I117" s="132">
        <v>4.13399E-4</v>
      </c>
      <c r="J117" s="133">
        <v>3.4966700000000001E-4</v>
      </c>
      <c r="K117" s="115">
        <v>3.89749E-4</v>
      </c>
      <c r="L117" s="116">
        <v>3.2916100000000002E-4</v>
      </c>
      <c r="M117" s="105">
        <v>7</v>
      </c>
      <c r="N117" s="106">
        <v>7</v>
      </c>
      <c r="O117" s="106">
        <v>26</v>
      </c>
      <c r="P117" s="126">
        <v>1</v>
      </c>
      <c r="Q117" s="106">
        <v>1</v>
      </c>
      <c r="R117" s="127">
        <v>13</v>
      </c>
      <c r="S117" s="126">
        <v>0</v>
      </c>
      <c r="T117" s="106">
        <v>0</v>
      </c>
      <c r="U117" s="127">
        <v>11</v>
      </c>
      <c r="V117" s="106">
        <v>0</v>
      </c>
      <c r="W117" s="106">
        <v>0</v>
      </c>
      <c r="X117" s="109">
        <v>6</v>
      </c>
    </row>
    <row r="118" spans="1:24" x14ac:dyDescent="0.25">
      <c r="B118">
        <v>20090639</v>
      </c>
      <c r="C118" s="103">
        <v>9615</v>
      </c>
      <c r="D118" s="108">
        <v>5712.5</v>
      </c>
      <c r="E118" s="114">
        <v>2.4570899999999999E-5</v>
      </c>
      <c r="F118" s="115">
        <v>2.17932E-5</v>
      </c>
      <c r="G118" s="132">
        <v>1.9512099999999999E-5</v>
      </c>
      <c r="H118" s="133">
        <v>1.57114E-5</v>
      </c>
      <c r="I118" s="132">
        <v>1.63806E-5</v>
      </c>
      <c r="J118" s="133">
        <v>1.57114E-5</v>
      </c>
      <c r="K118" s="115">
        <v>1.0057199999999999E-5</v>
      </c>
      <c r="L118" s="116">
        <v>1.01364E-5</v>
      </c>
      <c r="M118" s="105">
        <v>2</v>
      </c>
      <c r="N118" s="106">
        <v>2</v>
      </c>
      <c r="O118" s="106">
        <v>5</v>
      </c>
      <c r="P118" s="126">
        <v>1</v>
      </c>
      <c r="Q118" s="106">
        <v>0</v>
      </c>
      <c r="R118" s="127">
        <v>2</v>
      </c>
      <c r="S118" s="126">
        <v>0</v>
      </c>
      <c r="T118" s="106">
        <v>0</v>
      </c>
      <c r="U118" s="127">
        <v>2</v>
      </c>
      <c r="V118" s="106">
        <v>0</v>
      </c>
      <c r="W118" s="106">
        <v>0</v>
      </c>
      <c r="X118" s="109">
        <v>1</v>
      </c>
    </row>
    <row r="119" spans="1:24" x14ac:dyDescent="0.25">
      <c r="B119">
        <v>20090816</v>
      </c>
      <c r="C119" s="103">
        <v>22848.5</v>
      </c>
      <c r="D119" s="108">
        <v>4250.7</v>
      </c>
      <c r="E119" s="114">
        <v>1.5149799999999999E-4</v>
      </c>
      <c r="F119" s="115">
        <v>1.5134100000000001E-4</v>
      </c>
      <c r="G119" s="132">
        <v>1.2600299999999999E-4</v>
      </c>
      <c r="H119" s="133">
        <v>1.2859199999999999E-4</v>
      </c>
      <c r="I119" s="132">
        <v>1.2600299999999999E-4</v>
      </c>
      <c r="J119" s="133">
        <v>1.2423299999999999E-4</v>
      </c>
      <c r="K119" s="115">
        <v>9.04982E-5</v>
      </c>
      <c r="L119" s="116">
        <v>1.02574E-4</v>
      </c>
      <c r="M119" s="105">
        <v>18</v>
      </c>
      <c r="N119" s="106">
        <v>8</v>
      </c>
      <c r="O119" s="106">
        <v>30</v>
      </c>
      <c r="P119" s="126">
        <v>3</v>
      </c>
      <c r="Q119" s="106">
        <v>5</v>
      </c>
      <c r="R119" s="127">
        <v>15</v>
      </c>
      <c r="S119" s="126">
        <v>3</v>
      </c>
      <c r="T119" s="106">
        <v>3</v>
      </c>
      <c r="U119" s="127">
        <v>15</v>
      </c>
      <c r="V119" s="106">
        <v>3</v>
      </c>
      <c r="W119" s="106">
        <v>1</v>
      </c>
      <c r="X119" s="109">
        <v>12</v>
      </c>
    </row>
    <row r="120" spans="1:24" x14ac:dyDescent="0.25">
      <c r="B120">
        <v>20091349</v>
      </c>
      <c r="C120" s="103">
        <v>12625.6</v>
      </c>
      <c r="D120" s="108">
        <v>4824.2</v>
      </c>
      <c r="E120" s="114">
        <v>1.5776700000000001E-5</v>
      </c>
      <c r="F120" s="115">
        <v>2.6886500000000001E-5</v>
      </c>
      <c r="G120" s="132">
        <v>2.6141500000000002E-6</v>
      </c>
      <c r="H120" s="133">
        <v>6.7216199999999999E-6</v>
      </c>
      <c r="I120" s="132">
        <v>9.1724700000000001E-7</v>
      </c>
      <c r="J120" s="133">
        <v>2.2805500000000001E-6</v>
      </c>
      <c r="K120" s="117">
        <v>1.9999999999999999E-7</v>
      </c>
      <c r="L120" s="118">
        <v>1.9999999999999999E-7</v>
      </c>
      <c r="M120" s="105">
        <v>3</v>
      </c>
      <c r="N120" s="106">
        <v>15</v>
      </c>
      <c r="O120" s="106">
        <v>12</v>
      </c>
      <c r="P120" s="126">
        <v>0</v>
      </c>
      <c r="Q120" s="106">
        <v>0</v>
      </c>
      <c r="R120" s="127">
        <v>4</v>
      </c>
      <c r="S120" s="126">
        <v>0</v>
      </c>
      <c r="T120" s="106">
        <v>0</v>
      </c>
      <c r="U120" s="127">
        <v>1</v>
      </c>
      <c r="V120" s="106">
        <v>0</v>
      </c>
      <c r="W120" s="106">
        <v>0</v>
      </c>
      <c r="X120" s="109">
        <v>0</v>
      </c>
    </row>
    <row r="121" spans="1:24" x14ac:dyDescent="0.25">
      <c r="B121">
        <v>20091939</v>
      </c>
      <c r="C121" s="103">
        <v>29581.3</v>
      </c>
      <c r="D121" s="108">
        <v>7281.8</v>
      </c>
      <c r="E121" s="114">
        <v>9.3644400000000001E-5</v>
      </c>
      <c r="F121" s="115">
        <v>1.02419E-4</v>
      </c>
      <c r="G121" s="132">
        <v>7.5009499999999994E-5</v>
      </c>
      <c r="H121" s="133">
        <v>8.4130300000000003E-5</v>
      </c>
      <c r="I121" s="132">
        <v>6.8354200000000004E-5</v>
      </c>
      <c r="J121" s="133">
        <v>7.4588100000000005E-5</v>
      </c>
      <c r="K121" s="115">
        <v>6.4674199999999998E-5</v>
      </c>
      <c r="L121" s="116">
        <v>6.7272400000000003E-5</v>
      </c>
      <c r="M121" s="105">
        <v>16</v>
      </c>
      <c r="N121" s="106">
        <v>15</v>
      </c>
      <c r="O121" s="106">
        <v>23</v>
      </c>
      <c r="P121" s="126">
        <v>0</v>
      </c>
      <c r="Q121" s="106">
        <v>2</v>
      </c>
      <c r="R121" s="127">
        <v>8</v>
      </c>
      <c r="S121" s="126">
        <v>0</v>
      </c>
      <c r="T121" s="106">
        <v>0</v>
      </c>
      <c r="U121" s="127">
        <v>5</v>
      </c>
      <c r="V121" s="106">
        <v>0</v>
      </c>
      <c r="W121" s="106">
        <v>0</v>
      </c>
      <c r="X121" s="109">
        <v>3</v>
      </c>
    </row>
    <row r="122" spans="1:24" x14ac:dyDescent="0.25">
      <c r="B122">
        <v>20091940</v>
      </c>
      <c r="C122" s="103">
        <v>24549.9</v>
      </c>
      <c r="D122" s="108">
        <v>4132.1000000000004</v>
      </c>
      <c r="E122" s="114">
        <v>1.61211E-4</v>
      </c>
      <c r="F122" s="115">
        <v>1.4882099999999999E-4</v>
      </c>
      <c r="G122" s="132">
        <v>1.5007900000000001E-4</v>
      </c>
      <c r="H122" s="133">
        <v>1.3719000000000001E-4</v>
      </c>
      <c r="I122" s="132">
        <v>1.1896900000000001E-4</v>
      </c>
      <c r="J122" s="133">
        <v>1.14349E-4</v>
      </c>
      <c r="K122" s="115">
        <v>3.3398000000000001E-5</v>
      </c>
      <c r="L122" s="116">
        <v>5.6894100000000001E-5</v>
      </c>
      <c r="M122" s="105">
        <v>8</v>
      </c>
      <c r="N122" s="106">
        <v>4</v>
      </c>
      <c r="O122" s="106">
        <v>24</v>
      </c>
      <c r="P122" s="126">
        <v>2</v>
      </c>
      <c r="Q122" s="106">
        <v>3</v>
      </c>
      <c r="R122" s="127">
        <v>16</v>
      </c>
      <c r="S122" s="126">
        <v>2</v>
      </c>
      <c r="T122" s="106">
        <v>3</v>
      </c>
      <c r="U122" s="127">
        <v>10</v>
      </c>
      <c r="V122" s="106">
        <v>1</v>
      </c>
      <c r="W122" s="106">
        <v>4</v>
      </c>
      <c r="X122" s="109">
        <v>2</v>
      </c>
    </row>
    <row r="123" spans="1:24" x14ac:dyDescent="0.25">
      <c r="C123" s="105"/>
      <c r="D123" s="109"/>
      <c r="E123" s="105"/>
      <c r="F123" s="106"/>
      <c r="G123" s="126"/>
      <c r="H123" s="127"/>
      <c r="I123" s="126"/>
      <c r="J123" s="127"/>
      <c r="K123" s="106"/>
      <c r="L123" s="109"/>
      <c r="M123" s="105"/>
      <c r="N123" s="106"/>
      <c r="O123" s="106"/>
      <c r="P123" s="126"/>
      <c r="Q123" s="106"/>
      <c r="R123" s="127"/>
      <c r="S123" s="126"/>
      <c r="T123" s="106"/>
      <c r="U123" s="127"/>
      <c r="V123" s="106"/>
      <c r="W123" s="106"/>
      <c r="X123" s="109"/>
    </row>
    <row r="124" spans="1:24" x14ac:dyDescent="0.25">
      <c r="A124" t="s">
        <v>1095</v>
      </c>
      <c r="B124">
        <v>20080194</v>
      </c>
      <c r="C124" s="103">
        <v>7198.1</v>
      </c>
      <c r="D124" s="108">
        <v>6146.2</v>
      </c>
      <c r="E124" s="114">
        <v>1.4608500000000001E-4</v>
      </c>
      <c r="F124" s="115">
        <v>1.72831E-4</v>
      </c>
      <c r="G124" s="132">
        <v>7.7645399999999994E-5</v>
      </c>
      <c r="H124" s="133">
        <v>7.2312399999999996E-5</v>
      </c>
      <c r="I124" s="132">
        <v>5.0027800000000002E-5</v>
      </c>
      <c r="J124" s="133">
        <v>5.2274000000000001E-5</v>
      </c>
      <c r="K124" s="115">
        <v>3.7381400000000001E-5</v>
      </c>
      <c r="L124" s="116">
        <v>3.6047300000000003E-5</v>
      </c>
      <c r="M124" s="105">
        <v>5</v>
      </c>
      <c r="N124" s="106">
        <v>42</v>
      </c>
      <c r="O124" s="106">
        <v>64</v>
      </c>
      <c r="P124" s="126">
        <v>3</v>
      </c>
      <c r="Q124" s="106">
        <v>0</v>
      </c>
      <c r="R124" s="127">
        <v>17</v>
      </c>
      <c r="S124" s="126">
        <v>0</v>
      </c>
      <c r="T124" s="106">
        <v>1</v>
      </c>
      <c r="U124" s="127">
        <v>6</v>
      </c>
      <c r="V124" s="106">
        <v>0</v>
      </c>
      <c r="W124" s="106">
        <v>0</v>
      </c>
      <c r="X124" s="109">
        <v>4</v>
      </c>
    </row>
    <row r="125" spans="1:24" x14ac:dyDescent="0.25">
      <c r="B125">
        <v>20080341</v>
      </c>
      <c r="C125" s="103">
        <v>1474</v>
      </c>
      <c r="D125" s="108">
        <v>1468.7</v>
      </c>
      <c r="E125" s="114">
        <v>1.52944E-3</v>
      </c>
      <c r="F125" s="115">
        <v>1.4069099999999999E-3</v>
      </c>
      <c r="G125" s="132">
        <v>1.52944E-3</v>
      </c>
      <c r="H125" s="133">
        <v>1.3686200000000001E-3</v>
      </c>
      <c r="I125" s="132">
        <v>1.4767700000000001E-3</v>
      </c>
      <c r="J125" s="133">
        <v>1.28385E-3</v>
      </c>
      <c r="K125" s="115">
        <v>1.0685200000000001E-3</v>
      </c>
      <c r="L125" s="116">
        <v>8.7960200000000005E-4</v>
      </c>
      <c r="M125" s="105">
        <v>9</v>
      </c>
      <c r="N125" s="106">
        <v>38</v>
      </c>
      <c r="O125" s="106">
        <v>162</v>
      </c>
      <c r="P125" s="126">
        <v>10</v>
      </c>
      <c r="Q125" s="106">
        <v>19</v>
      </c>
      <c r="R125" s="127">
        <v>161</v>
      </c>
      <c r="S125" s="126">
        <v>10</v>
      </c>
      <c r="T125" s="106">
        <v>5</v>
      </c>
      <c r="U125" s="127">
        <v>147</v>
      </c>
      <c r="V125" s="106">
        <v>9</v>
      </c>
      <c r="W125" s="106">
        <v>1</v>
      </c>
      <c r="X125" s="109">
        <v>73</v>
      </c>
    </row>
    <row r="126" spans="1:24" x14ac:dyDescent="0.25">
      <c r="B126">
        <v>20080684</v>
      </c>
      <c r="C126" s="103">
        <v>9272.2000000000007</v>
      </c>
      <c r="D126" s="108">
        <v>6588.3</v>
      </c>
      <c r="E126" s="114">
        <v>6.6773900000000001E-5</v>
      </c>
      <c r="F126" s="115">
        <v>8.3917800000000005E-5</v>
      </c>
      <c r="G126" s="132">
        <v>6.0132600000000001E-5</v>
      </c>
      <c r="H126" s="133">
        <v>6.1566800000000001E-5</v>
      </c>
      <c r="I126" s="132">
        <v>3.8981499999999999E-5</v>
      </c>
      <c r="J126" s="133">
        <v>3.9215799999999998E-5</v>
      </c>
      <c r="K126" s="117">
        <v>9.9999999999999995E-8</v>
      </c>
      <c r="L126" s="118">
        <v>9.9999999999999995E-8</v>
      </c>
      <c r="M126" s="105">
        <v>0</v>
      </c>
      <c r="N126" s="106">
        <v>23</v>
      </c>
      <c r="O126" s="106">
        <v>22</v>
      </c>
      <c r="P126" s="126">
        <v>0</v>
      </c>
      <c r="Q126" s="106">
        <v>0</v>
      </c>
      <c r="R126" s="127">
        <v>16</v>
      </c>
      <c r="S126" s="126">
        <v>0</v>
      </c>
      <c r="T126" s="106">
        <v>0</v>
      </c>
      <c r="U126" s="127">
        <v>9</v>
      </c>
      <c r="V126" s="106">
        <v>0</v>
      </c>
      <c r="W126" s="106">
        <v>0</v>
      </c>
      <c r="X126" s="109">
        <v>0</v>
      </c>
    </row>
    <row r="127" spans="1:24" x14ac:dyDescent="0.25">
      <c r="B127">
        <v>20080698</v>
      </c>
      <c r="C127" s="103">
        <v>35550.6</v>
      </c>
      <c r="D127" s="108">
        <v>7355</v>
      </c>
      <c r="E127" s="114">
        <v>3.15556E-5</v>
      </c>
      <c r="F127" s="115">
        <v>2.45714E-5</v>
      </c>
      <c r="G127" s="132">
        <v>2.53424E-5</v>
      </c>
      <c r="H127" s="133">
        <v>1.67449E-5</v>
      </c>
      <c r="I127" s="132">
        <v>2.53424E-5</v>
      </c>
      <c r="J127" s="133">
        <v>1.40148E-5</v>
      </c>
      <c r="K127" s="115">
        <v>2.2518200000000001E-5</v>
      </c>
      <c r="L127" s="116">
        <v>1.40148E-5</v>
      </c>
      <c r="M127" s="105">
        <v>4</v>
      </c>
      <c r="N127" s="106">
        <v>5</v>
      </c>
      <c r="O127" s="106">
        <v>7</v>
      </c>
      <c r="P127" s="126">
        <v>0</v>
      </c>
      <c r="Q127" s="106">
        <v>0</v>
      </c>
      <c r="R127" s="127">
        <v>2</v>
      </c>
      <c r="S127" s="126">
        <v>1</v>
      </c>
      <c r="T127" s="106">
        <v>0</v>
      </c>
      <c r="U127" s="127">
        <v>1</v>
      </c>
      <c r="V127" s="106">
        <v>0</v>
      </c>
      <c r="W127" s="106">
        <v>0</v>
      </c>
      <c r="X127" s="109">
        <v>1</v>
      </c>
    </row>
    <row r="128" spans="1:24" x14ac:dyDescent="0.25">
      <c r="B128">
        <v>20080719</v>
      </c>
      <c r="C128" s="103">
        <v>894</v>
      </c>
      <c r="D128" s="108">
        <v>887.3</v>
      </c>
      <c r="E128" s="114">
        <v>3.9681700000000003E-5</v>
      </c>
      <c r="F128" s="115">
        <v>6.2613799999999993E-5</v>
      </c>
      <c r="G128" s="132">
        <v>3.9681700000000003E-5</v>
      </c>
      <c r="H128" s="133">
        <v>6.0350699999999998E-5</v>
      </c>
      <c r="I128" s="132">
        <v>3.9681700000000003E-5</v>
      </c>
      <c r="J128" s="133">
        <v>4.5262999999999997E-5</v>
      </c>
      <c r="K128" s="115">
        <v>2.6953599999999999E-5</v>
      </c>
      <c r="L128" s="116">
        <v>2.41403E-5</v>
      </c>
      <c r="M128" s="105">
        <v>0</v>
      </c>
      <c r="N128" s="106">
        <v>8</v>
      </c>
      <c r="O128" s="106">
        <v>8</v>
      </c>
      <c r="P128" s="126">
        <v>0</v>
      </c>
      <c r="Q128" s="106">
        <v>7</v>
      </c>
      <c r="R128" s="127">
        <v>8</v>
      </c>
      <c r="S128" s="126">
        <v>0</v>
      </c>
      <c r="T128" s="106">
        <v>2</v>
      </c>
      <c r="U128" s="127">
        <v>8</v>
      </c>
      <c r="V128" s="106">
        <v>1</v>
      </c>
      <c r="W128" s="106">
        <v>1</v>
      </c>
      <c r="X128" s="109">
        <v>5</v>
      </c>
    </row>
    <row r="129" spans="2:24" x14ac:dyDescent="0.25">
      <c r="B129">
        <v>20080832</v>
      </c>
      <c r="C129" s="103">
        <v>5950.1</v>
      </c>
      <c r="D129" s="108">
        <v>5561.4</v>
      </c>
      <c r="E129" s="114">
        <v>7.8069800000000003E-5</v>
      </c>
      <c r="F129" s="115">
        <v>9.7246799999999999E-5</v>
      </c>
      <c r="G129" s="132">
        <v>7.0645300000000006E-5</v>
      </c>
      <c r="H129" s="133">
        <v>7.4740399999999993E-5</v>
      </c>
      <c r="I129" s="132">
        <v>7.0645300000000006E-5</v>
      </c>
      <c r="J129" s="133">
        <v>7.4740399999999993E-5</v>
      </c>
      <c r="K129" s="115">
        <v>7.0645300000000006E-5</v>
      </c>
      <c r="L129" s="116">
        <v>7.4740399999999993E-5</v>
      </c>
      <c r="M129" s="105">
        <v>0</v>
      </c>
      <c r="N129" s="106">
        <v>19</v>
      </c>
      <c r="O129" s="106">
        <v>6</v>
      </c>
      <c r="P129" s="126">
        <v>0</v>
      </c>
      <c r="Q129" s="106">
        <v>0</v>
      </c>
      <c r="R129" s="127">
        <v>1</v>
      </c>
      <c r="S129" s="126">
        <v>0</v>
      </c>
      <c r="T129" s="106">
        <v>0</v>
      </c>
      <c r="U129" s="127">
        <v>1</v>
      </c>
      <c r="V129" s="106">
        <v>0</v>
      </c>
      <c r="W129" s="106">
        <v>0</v>
      </c>
      <c r="X129" s="109">
        <v>1</v>
      </c>
    </row>
    <row r="130" spans="2:24" x14ac:dyDescent="0.25">
      <c r="B130">
        <v>20080857</v>
      </c>
      <c r="C130" s="103">
        <v>2970.5</v>
      </c>
      <c r="D130" s="108">
        <v>2960</v>
      </c>
      <c r="E130" s="114">
        <v>6.8050699999999995E-5</v>
      </c>
      <c r="F130" s="115">
        <v>1.2957299999999999E-4</v>
      </c>
      <c r="G130" s="132">
        <v>6.2642699999999996E-5</v>
      </c>
      <c r="H130" s="133">
        <v>6.5125799999999999E-5</v>
      </c>
      <c r="I130" s="132">
        <v>4.2137400000000001E-5</v>
      </c>
      <c r="J130" s="133">
        <v>4.2964899999999999E-5</v>
      </c>
      <c r="K130" s="115">
        <v>2.7265400000000002E-5</v>
      </c>
      <c r="L130" s="116">
        <v>2.80403E-5</v>
      </c>
      <c r="M130" s="105">
        <v>0</v>
      </c>
      <c r="N130" s="106">
        <v>49</v>
      </c>
      <c r="O130" s="106">
        <v>18</v>
      </c>
      <c r="P130" s="126">
        <v>0</v>
      </c>
      <c r="Q130" s="106">
        <v>2</v>
      </c>
      <c r="R130" s="127">
        <v>15</v>
      </c>
      <c r="S130" s="126">
        <v>0</v>
      </c>
      <c r="T130" s="106">
        <v>0</v>
      </c>
      <c r="U130" s="127">
        <v>8</v>
      </c>
      <c r="V130" s="106">
        <v>0</v>
      </c>
      <c r="W130" s="106">
        <v>0</v>
      </c>
      <c r="X130" s="109">
        <v>5</v>
      </c>
    </row>
    <row r="131" spans="2:24" x14ac:dyDescent="0.25">
      <c r="B131">
        <v>20080860</v>
      </c>
      <c r="C131" s="103">
        <v>4122.3999999999996</v>
      </c>
      <c r="D131" s="108">
        <v>4104.5</v>
      </c>
      <c r="E131" s="114">
        <v>3.6857299999999997E-5</v>
      </c>
      <c r="F131" s="115">
        <v>6.3599300000000006E-5</v>
      </c>
      <c r="G131" s="132">
        <v>1.8022699999999999E-5</v>
      </c>
      <c r="H131" s="133">
        <v>2.0058200000000001E-5</v>
      </c>
      <c r="I131" s="132">
        <v>1.62367E-6</v>
      </c>
      <c r="J131" s="133">
        <v>6.6860799999999997E-6</v>
      </c>
      <c r="K131" s="117">
        <v>9.9999999999999995E-8</v>
      </c>
      <c r="L131" s="118">
        <v>9.9999999999999995E-8</v>
      </c>
      <c r="M131" s="105">
        <v>1</v>
      </c>
      <c r="N131" s="106">
        <v>28</v>
      </c>
      <c r="O131" s="106">
        <v>15</v>
      </c>
      <c r="P131" s="126">
        <v>0</v>
      </c>
      <c r="Q131" s="106">
        <v>2</v>
      </c>
      <c r="R131" s="127">
        <v>6</v>
      </c>
      <c r="S131" s="126">
        <v>0</v>
      </c>
      <c r="T131" s="106">
        <v>1</v>
      </c>
      <c r="U131" s="127">
        <v>1</v>
      </c>
      <c r="V131" s="106">
        <v>0</v>
      </c>
      <c r="W131" s="106">
        <v>0</v>
      </c>
      <c r="X131" s="109">
        <v>0</v>
      </c>
    </row>
    <row r="132" spans="2:24" x14ac:dyDescent="0.25">
      <c r="B132">
        <v>20080867</v>
      </c>
      <c r="C132" s="103">
        <v>815.5</v>
      </c>
      <c r="D132" s="108">
        <v>812.4</v>
      </c>
      <c r="E132" s="114">
        <v>1.9132299999999999E-3</v>
      </c>
      <c r="F132" s="115">
        <v>2.0013499999999998E-3</v>
      </c>
      <c r="G132" s="132">
        <v>1.9132299999999999E-3</v>
      </c>
      <c r="H132" s="133">
        <v>1.9889899999999999E-3</v>
      </c>
      <c r="I132" s="132">
        <v>1.9132299999999999E-3</v>
      </c>
      <c r="J132" s="133">
        <v>1.9197800000000001E-3</v>
      </c>
      <c r="K132" s="115">
        <v>1.70393E-3</v>
      </c>
      <c r="L132" s="116">
        <v>1.6948499999999999E-3</v>
      </c>
      <c r="M132" s="105">
        <v>1</v>
      </c>
      <c r="N132" s="106">
        <v>35</v>
      </c>
      <c r="O132" s="106">
        <v>100</v>
      </c>
      <c r="P132" s="126">
        <v>1</v>
      </c>
      <c r="Q132" s="106">
        <v>30</v>
      </c>
      <c r="R132" s="127">
        <v>100</v>
      </c>
      <c r="S132" s="126">
        <v>3</v>
      </c>
      <c r="T132" s="106">
        <v>9</v>
      </c>
      <c r="U132" s="127">
        <v>98</v>
      </c>
      <c r="V132" s="106">
        <v>1</v>
      </c>
      <c r="W132" s="106">
        <v>1</v>
      </c>
      <c r="X132" s="109">
        <v>64</v>
      </c>
    </row>
    <row r="133" spans="2:24" x14ac:dyDescent="0.25">
      <c r="B133">
        <v>20080869</v>
      </c>
      <c r="C133" s="103">
        <v>681.9</v>
      </c>
      <c r="D133" s="108">
        <v>679.2</v>
      </c>
      <c r="E133" s="114">
        <v>2.1497500000000002E-3</v>
      </c>
      <c r="F133" s="115">
        <v>2.3079699999999999E-3</v>
      </c>
      <c r="G133" s="132">
        <v>2.1497500000000002E-3</v>
      </c>
      <c r="H133" s="133">
        <v>2.3020599999999999E-3</v>
      </c>
      <c r="I133" s="132">
        <v>2.1497500000000002E-3</v>
      </c>
      <c r="J133" s="133">
        <v>2.2182899999999999E-3</v>
      </c>
      <c r="K133" s="115">
        <v>1.92987E-3</v>
      </c>
      <c r="L133" s="116">
        <v>1.9384199999999999E-3</v>
      </c>
      <c r="M133" s="105">
        <v>0</v>
      </c>
      <c r="N133" s="106">
        <v>46</v>
      </c>
      <c r="O133" s="106">
        <v>145</v>
      </c>
      <c r="P133" s="126">
        <v>0</v>
      </c>
      <c r="Q133" s="106">
        <v>44</v>
      </c>
      <c r="R133" s="127">
        <v>145</v>
      </c>
      <c r="S133" s="126">
        <v>1</v>
      </c>
      <c r="T133" s="106">
        <v>19</v>
      </c>
      <c r="U133" s="127">
        <v>144</v>
      </c>
      <c r="V133" s="106">
        <v>0</v>
      </c>
      <c r="W133" s="106">
        <v>1</v>
      </c>
      <c r="X133" s="109">
        <v>111</v>
      </c>
    </row>
    <row r="134" spans="2:24" x14ac:dyDescent="0.25">
      <c r="B134">
        <v>20080933</v>
      </c>
      <c r="C134" s="103">
        <v>809.7</v>
      </c>
      <c r="D134" s="108">
        <v>805.7</v>
      </c>
      <c r="E134" s="114">
        <v>3.0254799999999998E-4</v>
      </c>
      <c r="F134" s="115">
        <v>5.2252899999999998E-4</v>
      </c>
      <c r="G134" s="132">
        <v>3.0254799999999998E-4</v>
      </c>
      <c r="H134" s="133">
        <v>5.1006800000000002E-4</v>
      </c>
      <c r="I134" s="132">
        <v>3.0254799999999998E-4</v>
      </c>
      <c r="J134" s="133">
        <v>3.8878099999999999E-4</v>
      </c>
      <c r="K134" s="115">
        <v>1.5458E-4</v>
      </c>
      <c r="L134" s="116">
        <v>1.5285400000000001E-4</v>
      </c>
      <c r="M134" s="105">
        <v>0</v>
      </c>
      <c r="N134" s="106">
        <v>76</v>
      </c>
      <c r="O134" s="106">
        <v>41</v>
      </c>
      <c r="P134" s="126">
        <v>0</v>
      </c>
      <c r="Q134" s="106">
        <v>71</v>
      </c>
      <c r="R134" s="127">
        <v>41</v>
      </c>
      <c r="S134" s="126">
        <v>0</v>
      </c>
      <c r="T134" s="106">
        <v>32</v>
      </c>
      <c r="U134" s="127">
        <v>41</v>
      </c>
      <c r="V134" s="106">
        <v>0</v>
      </c>
      <c r="W134" s="106">
        <v>0</v>
      </c>
      <c r="X134" s="109">
        <v>17</v>
      </c>
    </row>
    <row r="135" spans="2:24" x14ac:dyDescent="0.25">
      <c r="B135">
        <v>20080980</v>
      </c>
      <c r="C135" s="103">
        <v>6139.4</v>
      </c>
      <c r="D135" s="108">
        <v>5751.8</v>
      </c>
      <c r="E135" s="114">
        <v>4.7425600000000002E-5</v>
      </c>
      <c r="F135" s="115">
        <v>6.3422200000000004E-5</v>
      </c>
      <c r="G135" s="132">
        <v>2.3767299999999999E-5</v>
      </c>
      <c r="H135" s="133">
        <v>2.2226899999999999E-5</v>
      </c>
      <c r="I135" s="132">
        <v>1.39551E-5</v>
      </c>
      <c r="J135" s="133">
        <v>1.4779100000000001E-5</v>
      </c>
      <c r="K135" s="115">
        <v>1.0793400000000001E-5</v>
      </c>
      <c r="L135" s="116">
        <v>1.14044E-5</v>
      </c>
      <c r="M135" s="105">
        <v>0</v>
      </c>
      <c r="N135" s="106">
        <v>19</v>
      </c>
      <c r="O135" s="106">
        <v>20</v>
      </c>
      <c r="P135" s="126">
        <v>1</v>
      </c>
      <c r="Q135" s="106">
        <v>0</v>
      </c>
      <c r="R135" s="127">
        <v>6</v>
      </c>
      <c r="S135" s="126">
        <v>0</v>
      </c>
      <c r="T135" s="106">
        <v>0</v>
      </c>
      <c r="U135" s="127">
        <v>3</v>
      </c>
      <c r="V135" s="106">
        <v>0</v>
      </c>
      <c r="W135" s="106">
        <v>0</v>
      </c>
      <c r="X135" s="109">
        <v>2</v>
      </c>
    </row>
    <row r="136" spans="2:24" x14ac:dyDescent="0.25">
      <c r="B136">
        <v>20081042</v>
      </c>
      <c r="C136" s="103">
        <v>11015.1</v>
      </c>
      <c r="D136" s="108">
        <v>6792.8</v>
      </c>
      <c r="E136" s="114">
        <v>2.91678E-6</v>
      </c>
      <c r="F136" s="115">
        <v>6.01075E-6</v>
      </c>
      <c r="G136" s="134">
        <v>9.9999999999999995E-8</v>
      </c>
      <c r="H136" s="135">
        <v>9.9999999999999995E-8</v>
      </c>
      <c r="I136" s="134">
        <v>9.9999999999999995E-8</v>
      </c>
      <c r="J136" s="135">
        <v>9.9999999999999995E-8</v>
      </c>
      <c r="K136" s="117">
        <v>9.9999999999999995E-8</v>
      </c>
      <c r="L136" s="118">
        <v>9.9999999999999995E-8</v>
      </c>
      <c r="M136" s="105">
        <v>0</v>
      </c>
      <c r="N136" s="106">
        <v>3</v>
      </c>
      <c r="O136" s="106">
        <v>2</v>
      </c>
      <c r="P136" s="126">
        <v>0</v>
      </c>
      <c r="Q136" s="106">
        <v>0</v>
      </c>
      <c r="R136" s="127">
        <v>0</v>
      </c>
      <c r="S136" s="126">
        <v>0</v>
      </c>
      <c r="T136" s="106">
        <v>0</v>
      </c>
      <c r="U136" s="127">
        <v>0</v>
      </c>
      <c r="V136" s="106">
        <v>0</v>
      </c>
      <c r="W136" s="106">
        <v>0</v>
      </c>
      <c r="X136" s="109">
        <v>0</v>
      </c>
    </row>
    <row r="137" spans="2:24" x14ac:dyDescent="0.25">
      <c r="B137">
        <v>20081054</v>
      </c>
      <c r="C137" s="103">
        <v>7000</v>
      </c>
      <c r="D137" s="108">
        <v>6110</v>
      </c>
      <c r="E137" s="114">
        <v>2.1418899999999999E-5</v>
      </c>
      <c r="F137" s="115">
        <v>4.8530499999999999E-5</v>
      </c>
      <c r="G137" s="132">
        <v>3.4423200000000002E-6</v>
      </c>
      <c r="H137" s="133">
        <v>2.4100900000000002E-6</v>
      </c>
      <c r="I137" s="134">
        <v>9.9999999999999995E-8</v>
      </c>
      <c r="J137" s="135">
        <v>9.9999999999999995E-8</v>
      </c>
      <c r="K137" s="117">
        <v>9.9999999999999995E-8</v>
      </c>
      <c r="L137" s="118">
        <v>9.9999999999999995E-8</v>
      </c>
      <c r="M137" s="105">
        <v>0</v>
      </c>
      <c r="N137" s="106">
        <v>36</v>
      </c>
      <c r="O137" s="106">
        <v>19</v>
      </c>
      <c r="P137" s="126">
        <v>2</v>
      </c>
      <c r="Q137" s="106">
        <v>0</v>
      </c>
      <c r="R137" s="127">
        <v>2</v>
      </c>
      <c r="S137" s="126">
        <v>0</v>
      </c>
      <c r="T137" s="106">
        <v>0</v>
      </c>
      <c r="U137" s="127">
        <v>0</v>
      </c>
      <c r="V137" s="106">
        <v>0</v>
      </c>
      <c r="W137" s="106">
        <v>0</v>
      </c>
      <c r="X137" s="109">
        <v>0</v>
      </c>
    </row>
    <row r="138" spans="2:24" x14ac:dyDescent="0.25">
      <c r="B138">
        <v>20081084</v>
      </c>
      <c r="C138" s="103">
        <v>2862.6</v>
      </c>
      <c r="D138" s="108">
        <v>2836.9</v>
      </c>
      <c r="E138" s="114">
        <v>3.9983600000000001E-5</v>
      </c>
      <c r="F138" s="115">
        <v>7.2906799999999998E-5</v>
      </c>
      <c r="G138" s="132">
        <v>3.7645399999999997E-5</v>
      </c>
      <c r="H138" s="133">
        <v>4.2941900000000003E-5</v>
      </c>
      <c r="I138" s="132">
        <v>3.4839499999999997E-5</v>
      </c>
      <c r="J138" s="133">
        <v>3.51557E-5</v>
      </c>
      <c r="K138" s="115">
        <v>2.7824800000000002E-5</v>
      </c>
      <c r="L138" s="116">
        <v>2.80774E-5</v>
      </c>
      <c r="M138" s="105">
        <v>0</v>
      </c>
      <c r="N138" s="106">
        <v>27</v>
      </c>
      <c r="O138" s="106">
        <v>4</v>
      </c>
      <c r="P138" s="126">
        <v>0</v>
      </c>
      <c r="Q138" s="106">
        <v>6</v>
      </c>
      <c r="R138" s="127">
        <v>3</v>
      </c>
      <c r="S138" s="126">
        <v>0</v>
      </c>
      <c r="T138" s="106">
        <v>1</v>
      </c>
      <c r="U138" s="127">
        <v>2</v>
      </c>
      <c r="V138" s="106">
        <v>0</v>
      </c>
      <c r="W138" s="106">
        <v>1</v>
      </c>
      <c r="X138" s="109">
        <v>1</v>
      </c>
    </row>
    <row r="139" spans="2:24" x14ac:dyDescent="0.25">
      <c r="B139">
        <v>20081149</v>
      </c>
      <c r="C139" s="103">
        <v>30065.4</v>
      </c>
      <c r="D139" s="108">
        <v>7629.8</v>
      </c>
      <c r="E139" s="114">
        <v>5.5501499999999997E-5</v>
      </c>
      <c r="F139" s="115">
        <v>8.4481799999999995E-5</v>
      </c>
      <c r="G139" s="132">
        <v>1.37808E-5</v>
      </c>
      <c r="H139" s="133">
        <v>5.0969800000000001E-5</v>
      </c>
      <c r="I139" s="132">
        <v>1.0463599999999999E-5</v>
      </c>
      <c r="J139" s="133">
        <v>3.9740699999999997E-5</v>
      </c>
      <c r="K139" s="115">
        <v>1.0463599999999999E-5</v>
      </c>
      <c r="L139" s="116">
        <v>3.9740699999999997E-5</v>
      </c>
      <c r="M139" s="105">
        <v>20</v>
      </c>
      <c r="N139" s="106">
        <v>9</v>
      </c>
      <c r="O139" s="106">
        <v>38</v>
      </c>
      <c r="P139" s="126">
        <v>0</v>
      </c>
      <c r="Q139" s="106">
        <v>4</v>
      </c>
      <c r="R139" s="127">
        <v>2</v>
      </c>
      <c r="S139" s="126">
        <v>0</v>
      </c>
      <c r="T139" s="106">
        <v>0</v>
      </c>
      <c r="U139" s="127">
        <v>1</v>
      </c>
      <c r="V139" s="106">
        <v>0</v>
      </c>
      <c r="W139" s="106">
        <v>0</v>
      </c>
      <c r="X139" s="109">
        <v>1</v>
      </c>
    </row>
    <row r="140" spans="2:24" x14ac:dyDescent="0.25">
      <c r="B140">
        <v>20081154</v>
      </c>
      <c r="C140" s="103">
        <v>7699.9</v>
      </c>
      <c r="D140" s="108">
        <v>6326.4</v>
      </c>
      <c r="E140" s="114">
        <v>3.9205000000000002E-5</v>
      </c>
      <c r="F140" s="115">
        <v>6.6125999999999997E-5</v>
      </c>
      <c r="G140" s="132">
        <v>2.3383900000000002E-5</v>
      </c>
      <c r="H140" s="133">
        <v>2.3382100000000001E-5</v>
      </c>
      <c r="I140" s="132">
        <v>9.9098999999999998E-6</v>
      </c>
      <c r="J140" s="133">
        <v>1.19556E-5</v>
      </c>
      <c r="K140" s="117">
        <v>9.9999999999999995E-8</v>
      </c>
      <c r="L140" s="116">
        <v>3.17405E-7</v>
      </c>
      <c r="M140" s="105">
        <v>1</v>
      </c>
      <c r="N140" s="106">
        <v>38</v>
      </c>
      <c r="O140" s="106">
        <v>22</v>
      </c>
      <c r="P140" s="126">
        <v>1</v>
      </c>
      <c r="Q140" s="106">
        <v>1</v>
      </c>
      <c r="R140" s="127">
        <v>7</v>
      </c>
      <c r="S140" s="126">
        <v>1</v>
      </c>
      <c r="T140" s="106">
        <v>2</v>
      </c>
      <c r="U140" s="127">
        <v>2</v>
      </c>
      <c r="V140" s="106">
        <v>0</v>
      </c>
      <c r="W140" s="106">
        <v>1</v>
      </c>
      <c r="X140" s="109">
        <v>0</v>
      </c>
    </row>
    <row r="141" spans="2:24" x14ac:dyDescent="0.25">
      <c r="B141">
        <v>20081164</v>
      </c>
      <c r="C141" s="103">
        <v>314</v>
      </c>
      <c r="D141" s="108">
        <v>312.8</v>
      </c>
      <c r="E141" s="114">
        <v>2.3514299999999998E-3</v>
      </c>
      <c r="F141" s="115">
        <v>2.57865E-3</v>
      </c>
      <c r="G141" s="132">
        <v>2.3514299999999998E-3</v>
      </c>
      <c r="H141" s="133">
        <v>2.57865E-3</v>
      </c>
      <c r="I141" s="132">
        <v>2.3514299999999998E-3</v>
      </c>
      <c r="J141" s="133">
        <v>2.57865E-3</v>
      </c>
      <c r="K141" s="115">
        <v>2.3301099999999998E-3</v>
      </c>
      <c r="L141" s="116">
        <v>2.39675E-3</v>
      </c>
      <c r="M141" s="105">
        <v>0</v>
      </c>
      <c r="N141" s="106">
        <v>38</v>
      </c>
      <c r="O141" s="106">
        <v>97</v>
      </c>
      <c r="P141" s="126">
        <v>0</v>
      </c>
      <c r="Q141" s="106">
        <v>38</v>
      </c>
      <c r="R141" s="127">
        <v>97</v>
      </c>
      <c r="S141" s="126">
        <v>0</v>
      </c>
      <c r="T141" s="106">
        <v>38</v>
      </c>
      <c r="U141" s="127">
        <v>97</v>
      </c>
      <c r="V141" s="106">
        <v>0</v>
      </c>
      <c r="W141" s="106">
        <v>12</v>
      </c>
      <c r="X141" s="109">
        <v>95</v>
      </c>
    </row>
    <row r="142" spans="2:24" x14ac:dyDescent="0.25">
      <c r="B142">
        <v>20081170</v>
      </c>
      <c r="C142" s="103">
        <v>28624</v>
      </c>
      <c r="D142" s="108">
        <v>7641.1</v>
      </c>
      <c r="E142" s="114">
        <v>8.6263799999999999E-5</v>
      </c>
      <c r="F142" s="115">
        <v>1.45938E-4</v>
      </c>
      <c r="G142" s="132">
        <v>4.5411799999999998E-5</v>
      </c>
      <c r="H142" s="133">
        <v>1.04592E-4</v>
      </c>
      <c r="I142" s="132">
        <v>4.0126999999999997E-5</v>
      </c>
      <c r="J142" s="133">
        <v>9.8021800000000004E-5</v>
      </c>
      <c r="K142" s="115">
        <v>3.0329100000000001E-5</v>
      </c>
      <c r="L142" s="116">
        <v>7.65604E-5</v>
      </c>
      <c r="M142" s="105">
        <v>6</v>
      </c>
      <c r="N142" s="106">
        <v>4</v>
      </c>
      <c r="O142" s="106">
        <v>40</v>
      </c>
      <c r="P142" s="126">
        <v>1</v>
      </c>
      <c r="Q142" s="106">
        <v>2</v>
      </c>
      <c r="R142" s="127">
        <v>8</v>
      </c>
      <c r="S142" s="126">
        <v>0</v>
      </c>
      <c r="T142" s="106">
        <v>1</v>
      </c>
      <c r="U142" s="127">
        <v>6</v>
      </c>
      <c r="V142" s="106">
        <v>0</v>
      </c>
      <c r="W142" s="106">
        <v>0</v>
      </c>
      <c r="X142" s="109">
        <v>2</v>
      </c>
    </row>
    <row r="143" spans="2:24" x14ac:dyDescent="0.25">
      <c r="B143">
        <v>20081207</v>
      </c>
      <c r="C143" s="103">
        <v>16599.099999999999</v>
      </c>
      <c r="D143" s="108">
        <v>7096.5</v>
      </c>
      <c r="E143" s="114">
        <v>8.3833999999999997E-5</v>
      </c>
      <c r="F143" s="115">
        <v>8.1493200000000001E-5</v>
      </c>
      <c r="G143" s="132">
        <v>4.6372799999999999E-6</v>
      </c>
      <c r="H143" s="133">
        <v>4.6217199999999999E-6</v>
      </c>
      <c r="I143" s="134">
        <v>9.9999999999999995E-8</v>
      </c>
      <c r="J143" s="135">
        <v>9.9999999999999995E-8</v>
      </c>
      <c r="K143" s="117">
        <v>9.9999999999999995E-8</v>
      </c>
      <c r="L143" s="118">
        <v>9.9999999999999995E-8</v>
      </c>
      <c r="M143" s="105">
        <v>27</v>
      </c>
      <c r="N143" s="106">
        <v>15</v>
      </c>
      <c r="O143" s="106">
        <v>59</v>
      </c>
      <c r="P143" s="126">
        <v>1</v>
      </c>
      <c r="Q143" s="106">
        <v>1</v>
      </c>
      <c r="R143" s="127">
        <v>2</v>
      </c>
      <c r="S143" s="126">
        <v>0</v>
      </c>
      <c r="T143" s="106">
        <v>0</v>
      </c>
      <c r="U143" s="127">
        <v>0</v>
      </c>
      <c r="V143" s="106">
        <v>0</v>
      </c>
      <c r="W143" s="106">
        <v>0</v>
      </c>
      <c r="X143" s="109">
        <v>0</v>
      </c>
    </row>
    <row r="144" spans="2:24" x14ac:dyDescent="0.25">
      <c r="B144">
        <v>20081212</v>
      </c>
      <c r="C144" s="103">
        <v>901.5</v>
      </c>
      <c r="D144" s="108">
        <v>897.5</v>
      </c>
      <c r="E144" s="114">
        <v>2.1828400000000001E-4</v>
      </c>
      <c r="F144" s="115">
        <v>3.43803E-4</v>
      </c>
      <c r="G144" s="132">
        <v>2.1828400000000001E-4</v>
      </c>
      <c r="H144" s="133">
        <v>3.1098900000000001E-4</v>
      </c>
      <c r="I144" s="132">
        <v>2.0492000000000001E-4</v>
      </c>
      <c r="J144" s="133">
        <v>2.27462E-4</v>
      </c>
      <c r="K144" s="115">
        <v>7.5731100000000004E-5</v>
      </c>
      <c r="L144" s="116">
        <v>7.6069199999999993E-5</v>
      </c>
      <c r="M144" s="105">
        <v>0</v>
      </c>
      <c r="N144" s="106">
        <v>46</v>
      </c>
      <c r="O144" s="106">
        <v>39</v>
      </c>
      <c r="P144" s="126">
        <v>0</v>
      </c>
      <c r="Q144" s="106">
        <v>33</v>
      </c>
      <c r="R144" s="127">
        <v>39</v>
      </c>
      <c r="S144" s="126">
        <v>0</v>
      </c>
      <c r="T144" s="106">
        <v>8</v>
      </c>
      <c r="U144" s="127">
        <v>36</v>
      </c>
      <c r="V144" s="106">
        <v>0</v>
      </c>
      <c r="W144" s="106">
        <v>0</v>
      </c>
      <c r="X144" s="109">
        <v>11</v>
      </c>
    </row>
    <row r="145" spans="1:24" x14ac:dyDescent="0.25">
      <c r="B145">
        <v>20090224</v>
      </c>
      <c r="C145" s="103">
        <v>677.5</v>
      </c>
      <c r="D145" s="108">
        <v>672.1</v>
      </c>
      <c r="E145" s="114">
        <v>4.3467599999999997E-5</v>
      </c>
      <c r="F145" s="115">
        <v>1.2349999999999999E-4</v>
      </c>
      <c r="G145" s="132">
        <v>4.3467599999999997E-5</v>
      </c>
      <c r="H145" s="133">
        <v>1.1752399999999999E-4</v>
      </c>
      <c r="I145" s="132">
        <v>4.3467599999999997E-5</v>
      </c>
      <c r="J145" s="133">
        <v>8.7645099999999999E-5</v>
      </c>
      <c r="K145" s="115">
        <v>2.0745900000000001E-5</v>
      </c>
      <c r="L145" s="116">
        <v>2.3903199999999998E-5</v>
      </c>
      <c r="M145" s="105">
        <v>0</v>
      </c>
      <c r="N145" s="106">
        <v>23</v>
      </c>
      <c r="O145" s="106">
        <v>6</v>
      </c>
      <c r="P145" s="126">
        <v>0</v>
      </c>
      <c r="Q145" s="106">
        <v>21</v>
      </c>
      <c r="R145" s="127">
        <v>6</v>
      </c>
      <c r="S145" s="126">
        <v>0</v>
      </c>
      <c r="T145" s="106">
        <v>13</v>
      </c>
      <c r="U145" s="127">
        <v>6</v>
      </c>
      <c r="V145" s="106">
        <v>0</v>
      </c>
      <c r="W145" s="106">
        <v>1</v>
      </c>
      <c r="X145" s="109">
        <v>3</v>
      </c>
    </row>
    <row r="146" spans="1:24" x14ac:dyDescent="0.25">
      <c r="B146">
        <v>20090639</v>
      </c>
      <c r="C146" s="103">
        <v>15401.8</v>
      </c>
      <c r="D146" s="108">
        <v>7024.5</v>
      </c>
      <c r="E146" s="114">
        <v>5.6931099999999996E-6</v>
      </c>
      <c r="F146" s="115">
        <v>1.04816E-5</v>
      </c>
      <c r="G146" s="134">
        <v>9.9999999999999995E-8</v>
      </c>
      <c r="H146" s="135">
        <v>9.9999999999999995E-8</v>
      </c>
      <c r="I146" s="134">
        <v>9.9999999999999995E-8</v>
      </c>
      <c r="J146" s="135">
        <v>9.9999999999999995E-8</v>
      </c>
      <c r="K146" s="117">
        <v>9.9999999999999995E-8</v>
      </c>
      <c r="L146" s="118">
        <v>9.9999999999999995E-8</v>
      </c>
      <c r="M146" s="105">
        <v>0</v>
      </c>
      <c r="N146" s="106">
        <v>6</v>
      </c>
      <c r="O146" s="106">
        <v>6</v>
      </c>
      <c r="P146" s="126">
        <v>0</v>
      </c>
      <c r="Q146" s="106">
        <v>0</v>
      </c>
      <c r="R146" s="127">
        <v>0</v>
      </c>
      <c r="S146" s="126">
        <v>0</v>
      </c>
      <c r="T146" s="106">
        <v>0</v>
      </c>
      <c r="U146" s="127">
        <v>0</v>
      </c>
      <c r="V146" s="106">
        <v>0</v>
      </c>
      <c r="W146" s="106">
        <v>0</v>
      </c>
      <c r="X146" s="109">
        <v>0</v>
      </c>
    </row>
    <row r="147" spans="1:24" x14ac:dyDescent="0.25">
      <c r="B147">
        <v>20090816</v>
      </c>
      <c r="C147" s="103">
        <v>750.3</v>
      </c>
      <c r="D147" s="108">
        <v>747.5</v>
      </c>
      <c r="E147" s="114">
        <v>1.2462899999999999E-3</v>
      </c>
      <c r="F147" s="115">
        <v>1.4739600000000001E-3</v>
      </c>
      <c r="G147" s="132">
        <v>1.2462899999999999E-3</v>
      </c>
      <c r="H147" s="133">
        <v>1.4659E-3</v>
      </c>
      <c r="I147" s="132">
        <v>1.2462899999999999E-3</v>
      </c>
      <c r="J147" s="133">
        <v>1.3763499999999999E-3</v>
      </c>
      <c r="K147" s="115">
        <v>1.0036400000000001E-3</v>
      </c>
      <c r="L147" s="116">
        <v>1.04323E-3</v>
      </c>
      <c r="M147" s="105">
        <v>0</v>
      </c>
      <c r="N147" s="106">
        <v>53</v>
      </c>
      <c r="O147" s="106">
        <v>117</v>
      </c>
      <c r="P147" s="126">
        <v>0</v>
      </c>
      <c r="Q147" s="106">
        <v>50</v>
      </c>
      <c r="R147" s="127">
        <v>117</v>
      </c>
      <c r="S147" s="126">
        <v>0</v>
      </c>
      <c r="T147" s="106">
        <v>23</v>
      </c>
      <c r="U147" s="127">
        <v>117</v>
      </c>
      <c r="V147" s="106">
        <v>1</v>
      </c>
      <c r="W147" s="106">
        <v>1</v>
      </c>
      <c r="X147" s="109">
        <v>74</v>
      </c>
    </row>
    <row r="148" spans="1:24" x14ac:dyDescent="0.25">
      <c r="B148">
        <v>20091349</v>
      </c>
      <c r="C148" s="103">
        <v>22135.3</v>
      </c>
      <c r="D148" s="108">
        <v>7295.2</v>
      </c>
      <c r="E148" s="114">
        <v>9.2832900000000007E-6</v>
      </c>
      <c r="F148" s="115">
        <v>1.39462E-5</v>
      </c>
      <c r="G148" s="134">
        <v>9.9999999999999995E-8</v>
      </c>
      <c r="H148" s="136">
        <v>1.83502E-7</v>
      </c>
      <c r="I148" s="134">
        <v>9.9999999999999995E-8</v>
      </c>
      <c r="J148" s="133">
        <v>1.83502E-7</v>
      </c>
      <c r="K148" s="117">
        <v>9.9999999999999995E-8</v>
      </c>
      <c r="L148" s="118">
        <v>9.9999999999999995E-8</v>
      </c>
      <c r="M148" s="105">
        <v>5</v>
      </c>
      <c r="N148" s="106">
        <v>10</v>
      </c>
      <c r="O148" s="106">
        <v>10</v>
      </c>
      <c r="P148" s="126">
        <v>0</v>
      </c>
      <c r="Q148" s="106">
        <v>1</v>
      </c>
      <c r="R148" s="127">
        <v>0</v>
      </c>
      <c r="S148" s="126">
        <v>0</v>
      </c>
      <c r="T148" s="106">
        <v>1</v>
      </c>
      <c r="U148" s="127">
        <v>0</v>
      </c>
      <c r="V148" s="106">
        <v>0</v>
      </c>
      <c r="W148" s="106">
        <v>0</v>
      </c>
      <c r="X148" s="109">
        <v>0</v>
      </c>
    </row>
    <row r="149" spans="1:24" x14ac:dyDescent="0.25">
      <c r="B149">
        <v>20091939</v>
      </c>
      <c r="C149" s="103">
        <v>8912</v>
      </c>
      <c r="D149" s="108">
        <v>6516.9</v>
      </c>
      <c r="E149" s="114">
        <v>2.8464999999999999E-5</v>
      </c>
      <c r="F149" s="115">
        <v>4.6013500000000003E-5</v>
      </c>
      <c r="G149" s="132">
        <v>1.38194E-5</v>
      </c>
      <c r="H149" s="133">
        <v>1.7357799999999998E-5</v>
      </c>
      <c r="I149" s="132">
        <v>4.8818700000000002E-6</v>
      </c>
      <c r="J149" s="133">
        <v>2.05418E-6</v>
      </c>
      <c r="K149" s="117">
        <v>9.9999999999999995E-8</v>
      </c>
      <c r="L149" s="118">
        <v>9.9999999999999995E-8</v>
      </c>
      <c r="M149" s="105">
        <v>1</v>
      </c>
      <c r="N149" s="106">
        <v>27</v>
      </c>
      <c r="O149" s="106">
        <v>18</v>
      </c>
      <c r="P149" s="126">
        <v>0</v>
      </c>
      <c r="Q149" s="106">
        <v>2</v>
      </c>
      <c r="R149" s="127">
        <v>8</v>
      </c>
      <c r="S149" s="126">
        <v>1</v>
      </c>
      <c r="T149" s="106">
        <v>1</v>
      </c>
      <c r="U149" s="127">
        <v>0</v>
      </c>
      <c r="V149" s="106">
        <v>0</v>
      </c>
      <c r="W149" s="106">
        <v>0</v>
      </c>
      <c r="X149" s="109">
        <v>0</v>
      </c>
    </row>
    <row r="150" spans="1:24" x14ac:dyDescent="0.25">
      <c r="B150">
        <v>20091940</v>
      </c>
      <c r="C150" s="103">
        <v>2009</v>
      </c>
      <c r="D150" s="108">
        <v>1994.1</v>
      </c>
      <c r="E150" s="114">
        <v>2.8619300000000002E-4</v>
      </c>
      <c r="F150" s="115">
        <v>3.4639600000000001E-4</v>
      </c>
      <c r="G150" s="132">
        <v>2.7253299999999999E-4</v>
      </c>
      <c r="H150" s="133">
        <v>2.8396399999999999E-4</v>
      </c>
      <c r="I150" s="132">
        <v>2.3621800000000001E-4</v>
      </c>
      <c r="J150" s="133">
        <v>2.2623200000000001E-4</v>
      </c>
      <c r="K150" s="115">
        <v>2.0656599999999999E-4</v>
      </c>
      <c r="L150" s="116">
        <v>2.0575699999999999E-4</v>
      </c>
      <c r="M150" s="105">
        <v>0</v>
      </c>
      <c r="N150" s="106">
        <v>38</v>
      </c>
      <c r="O150" s="106">
        <v>42</v>
      </c>
      <c r="P150" s="126">
        <v>0</v>
      </c>
      <c r="Q150" s="106">
        <v>9</v>
      </c>
      <c r="R150" s="127">
        <v>37</v>
      </c>
      <c r="S150" s="126">
        <v>2</v>
      </c>
      <c r="T150" s="106">
        <v>0</v>
      </c>
      <c r="U150" s="127">
        <v>22</v>
      </c>
      <c r="V150" s="106">
        <v>0</v>
      </c>
      <c r="W150" s="106">
        <v>0</v>
      </c>
      <c r="X150" s="109">
        <v>15</v>
      </c>
    </row>
    <row r="151" spans="1:24" x14ac:dyDescent="0.25">
      <c r="C151" s="105"/>
      <c r="D151" s="109"/>
      <c r="E151" s="105"/>
      <c r="F151" s="106"/>
      <c r="G151" s="126"/>
      <c r="H151" s="127"/>
      <c r="I151" s="126"/>
      <c r="J151" s="127"/>
      <c r="K151" s="106"/>
      <c r="L151" s="109"/>
      <c r="M151" s="105"/>
      <c r="N151" s="106"/>
      <c r="O151" s="106"/>
      <c r="P151" s="126"/>
      <c r="Q151" s="106"/>
      <c r="R151" s="127"/>
      <c r="S151" s="126"/>
      <c r="T151" s="106"/>
      <c r="U151" s="127"/>
      <c r="V151" s="106"/>
      <c r="W151" s="106"/>
      <c r="X151" s="109"/>
    </row>
    <row r="152" spans="1:24" x14ac:dyDescent="0.25">
      <c r="A152" t="s">
        <v>1096</v>
      </c>
      <c r="B152">
        <v>20080194</v>
      </c>
      <c r="C152" s="103">
        <v>18469.2</v>
      </c>
      <c r="D152" s="108">
        <v>6780.6</v>
      </c>
      <c r="E152" s="114">
        <v>1.0400299999999999E-5</v>
      </c>
      <c r="F152" s="115">
        <v>2.18565E-5</v>
      </c>
      <c r="G152" s="134">
        <v>1.9999999999999999E-7</v>
      </c>
      <c r="H152" s="133">
        <v>2.1219899999999999E-6</v>
      </c>
      <c r="I152" s="134">
        <v>1.9999999999999999E-7</v>
      </c>
      <c r="J152" s="135">
        <v>1.9999999999999999E-7</v>
      </c>
      <c r="K152" s="117">
        <v>1.9999999999999999E-7</v>
      </c>
      <c r="L152" s="118">
        <v>1.9999999999999999E-7</v>
      </c>
      <c r="M152" s="105">
        <v>6</v>
      </c>
      <c r="N152" s="106">
        <v>18</v>
      </c>
      <c r="O152" s="106">
        <v>10</v>
      </c>
      <c r="P152" s="126">
        <v>0</v>
      </c>
      <c r="Q152" s="106">
        <v>2</v>
      </c>
      <c r="R152" s="127">
        <v>0</v>
      </c>
      <c r="S152" s="126">
        <v>0</v>
      </c>
      <c r="T152" s="106">
        <v>0</v>
      </c>
      <c r="U152" s="127">
        <v>0</v>
      </c>
      <c r="V152" s="106">
        <v>0</v>
      </c>
      <c r="W152" s="106">
        <v>0</v>
      </c>
      <c r="X152" s="109">
        <v>0</v>
      </c>
    </row>
    <row r="153" spans="1:24" x14ac:dyDescent="0.25">
      <c r="B153">
        <v>20080341</v>
      </c>
      <c r="C153" s="103">
        <v>9577.7999999999993</v>
      </c>
      <c r="D153" s="108">
        <v>6203.7</v>
      </c>
      <c r="E153" s="114">
        <v>1.37458E-4</v>
      </c>
      <c r="F153" s="115">
        <v>1.81604E-4</v>
      </c>
      <c r="G153" s="132">
        <v>1.2912000000000001E-4</v>
      </c>
      <c r="H153" s="133">
        <v>1.66992E-4</v>
      </c>
      <c r="I153" s="132">
        <v>1.2912000000000001E-4</v>
      </c>
      <c r="J153" s="133">
        <v>1.66992E-4</v>
      </c>
      <c r="K153" s="115">
        <v>1.2551500000000001E-4</v>
      </c>
      <c r="L153" s="116">
        <v>1.61426E-4</v>
      </c>
      <c r="M153" s="105">
        <v>0</v>
      </c>
      <c r="N153" s="106">
        <v>8</v>
      </c>
      <c r="O153" s="106">
        <v>10</v>
      </c>
      <c r="P153" s="126">
        <v>0</v>
      </c>
      <c r="Q153" s="106">
        <v>0</v>
      </c>
      <c r="R153" s="127">
        <v>3</v>
      </c>
      <c r="S153" s="126">
        <v>0</v>
      </c>
      <c r="T153" s="106">
        <v>0</v>
      </c>
      <c r="U153" s="127">
        <v>3</v>
      </c>
      <c r="V153" s="106">
        <v>0</v>
      </c>
      <c r="W153" s="106">
        <v>0</v>
      </c>
      <c r="X153" s="109">
        <v>2</v>
      </c>
    </row>
    <row r="154" spans="1:24" x14ac:dyDescent="0.25">
      <c r="B154">
        <v>20080684</v>
      </c>
      <c r="C154" s="103">
        <v>11356.5</v>
      </c>
      <c r="D154" s="108">
        <v>6496.8</v>
      </c>
      <c r="E154" s="114">
        <v>7.6462499999999995E-5</v>
      </c>
      <c r="F154" s="115">
        <v>8.0061499999999999E-5</v>
      </c>
      <c r="G154" s="132">
        <v>6.9620800000000003E-5</v>
      </c>
      <c r="H154" s="133">
        <v>7.2088499999999999E-5</v>
      </c>
      <c r="I154" s="132">
        <v>5.9864999999999997E-5</v>
      </c>
      <c r="J154" s="133">
        <v>5.6032000000000002E-5</v>
      </c>
      <c r="K154" s="115">
        <v>2.5593100000000001E-5</v>
      </c>
      <c r="L154" s="116">
        <v>2.1704100000000001E-5</v>
      </c>
      <c r="M154" s="105">
        <v>2</v>
      </c>
      <c r="N154" s="106">
        <v>4</v>
      </c>
      <c r="O154" s="106">
        <v>21</v>
      </c>
      <c r="P154" s="126">
        <v>0</v>
      </c>
      <c r="Q154" s="106">
        <v>1</v>
      </c>
      <c r="R154" s="127">
        <v>17</v>
      </c>
      <c r="S154" s="126">
        <v>2</v>
      </c>
      <c r="T154" s="106">
        <v>0</v>
      </c>
      <c r="U154" s="127">
        <v>12</v>
      </c>
      <c r="V154" s="106">
        <v>1</v>
      </c>
      <c r="W154" s="106">
        <v>0</v>
      </c>
      <c r="X154" s="109">
        <v>2</v>
      </c>
    </row>
    <row r="155" spans="1:24" x14ac:dyDescent="0.25">
      <c r="B155">
        <v>20080698</v>
      </c>
      <c r="C155" s="103">
        <v>13753.3</v>
      </c>
      <c r="D155" s="108">
        <v>6624.2</v>
      </c>
      <c r="E155" s="114">
        <v>9.7818000000000001E-6</v>
      </c>
      <c r="F155" s="115">
        <v>1.45532E-5</v>
      </c>
      <c r="G155" s="132">
        <v>5.6493799999999999E-6</v>
      </c>
      <c r="H155" s="133">
        <v>5.6475100000000004E-6</v>
      </c>
      <c r="I155" s="132">
        <v>5.6493799999999999E-6</v>
      </c>
      <c r="J155" s="133">
        <v>5.6475100000000004E-6</v>
      </c>
      <c r="K155" s="115">
        <v>4.7078199999999999E-7</v>
      </c>
      <c r="L155" s="116">
        <v>6.5163500000000005E-7</v>
      </c>
      <c r="M155" s="105">
        <v>2</v>
      </c>
      <c r="N155" s="106">
        <v>8</v>
      </c>
      <c r="O155" s="106">
        <v>6</v>
      </c>
      <c r="P155" s="126">
        <v>0</v>
      </c>
      <c r="Q155" s="106">
        <v>0</v>
      </c>
      <c r="R155" s="127">
        <v>3</v>
      </c>
      <c r="S155" s="126">
        <v>0</v>
      </c>
      <c r="T155" s="106">
        <v>0</v>
      </c>
      <c r="U155" s="127">
        <v>3</v>
      </c>
      <c r="V155" s="106">
        <v>0</v>
      </c>
      <c r="W155" s="106">
        <v>0</v>
      </c>
      <c r="X155" s="109">
        <v>2</v>
      </c>
    </row>
    <row r="156" spans="1:24" x14ac:dyDescent="0.25">
      <c r="B156">
        <v>20080719</v>
      </c>
      <c r="C156" s="103">
        <v>16642.7</v>
      </c>
      <c r="D156" s="108">
        <v>6823.7</v>
      </c>
      <c r="E156" s="114">
        <v>1.7472599999999999E-4</v>
      </c>
      <c r="F156" s="115">
        <v>1.9736499999999999E-4</v>
      </c>
      <c r="G156" s="132">
        <v>1.6690100000000001E-4</v>
      </c>
      <c r="H156" s="133">
        <v>1.88192E-4</v>
      </c>
      <c r="I156" s="132">
        <v>1.55057E-4</v>
      </c>
      <c r="J156" s="133">
        <v>1.7216700000000001E-4</v>
      </c>
      <c r="K156" s="115">
        <v>1.21253E-4</v>
      </c>
      <c r="L156" s="116">
        <v>1.36637E-4</v>
      </c>
      <c r="M156" s="105">
        <v>2</v>
      </c>
      <c r="N156" s="106">
        <v>3</v>
      </c>
      <c r="O156" s="106">
        <v>19</v>
      </c>
      <c r="P156" s="126">
        <v>0</v>
      </c>
      <c r="Q156" s="106">
        <v>0</v>
      </c>
      <c r="R156" s="127">
        <v>13</v>
      </c>
      <c r="S156" s="126">
        <v>2</v>
      </c>
      <c r="T156" s="106">
        <v>1</v>
      </c>
      <c r="U156" s="127">
        <v>7</v>
      </c>
      <c r="V156" s="106">
        <v>0</v>
      </c>
      <c r="W156" s="106">
        <v>0</v>
      </c>
      <c r="X156" s="109">
        <v>2</v>
      </c>
    </row>
    <row r="157" spans="1:24" x14ac:dyDescent="0.25">
      <c r="B157">
        <v>20080832</v>
      </c>
      <c r="C157" s="103">
        <v>10176</v>
      </c>
      <c r="D157" s="108">
        <v>6337.1</v>
      </c>
      <c r="E157" s="114">
        <v>2.67238E-5</v>
      </c>
      <c r="F157" s="115">
        <v>3.2808799999999997E-5</v>
      </c>
      <c r="G157" s="132">
        <v>3.53489E-7</v>
      </c>
      <c r="H157" s="133">
        <v>6.8115099999999996E-7</v>
      </c>
      <c r="I157" s="132">
        <v>3.53489E-7</v>
      </c>
      <c r="J157" s="133">
        <v>6.8115099999999996E-7</v>
      </c>
      <c r="K157" s="115">
        <v>3.53489E-7</v>
      </c>
      <c r="L157" s="122">
        <v>3.4057599999999999E-7</v>
      </c>
      <c r="M157" s="105">
        <v>5</v>
      </c>
      <c r="N157" s="106">
        <v>14</v>
      </c>
      <c r="O157" s="106">
        <v>19</v>
      </c>
      <c r="P157" s="126">
        <v>1</v>
      </c>
      <c r="Q157" s="106">
        <v>2</v>
      </c>
      <c r="R157" s="127">
        <v>0</v>
      </c>
      <c r="S157" s="126">
        <v>1</v>
      </c>
      <c r="T157" s="106">
        <v>2</v>
      </c>
      <c r="U157" s="127">
        <v>0</v>
      </c>
      <c r="V157" s="106">
        <v>1</v>
      </c>
      <c r="W157" s="106">
        <v>1</v>
      </c>
      <c r="X157" s="109">
        <v>0</v>
      </c>
    </row>
    <row r="158" spans="1:24" x14ac:dyDescent="0.25">
      <c r="B158">
        <v>20080857</v>
      </c>
      <c r="C158" s="103">
        <v>22551.3</v>
      </c>
      <c r="D158" s="108">
        <v>6899.8</v>
      </c>
      <c r="E158" s="114">
        <v>6.33247E-5</v>
      </c>
      <c r="F158" s="115">
        <v>5.7868300000000003E-5</v>
      </c>
      <c r="G158" s="132">
        <v>4.2237799999999997E-5</v>
      </c>
      <c r="H158" s="133">
        <v>4.2540999999999998E-5</v>
      </c>
      <c r="I158" s="132">
        <v>4.1950599999999998E-5</v>
      </c>
      <c r="J158" s="133">
        <v>4.2228200000000003E-5</v>
      </c>
      <c r="K158" s="115">
        <v>3.6686900000000003E-5</v>
      </c>
      <c r="L158" s="116">
        <v>3.5972200000000001E-5</v>
      </c>
      <c r="M158" s="105">
        <v>19</v>
      </c>
      <c r="N158" s="106">
        <v>6</v>
      </c>
      <c r="O158" s="106">
        <v>17</v>
      </c>
      <c r="P158" s="126">
        <v>3</v>
      </c>
      <c r="Q158" s="106">
        <v>2</v>
      </c>
      <c r="R158" s="127">
        <v>5</v>
      </c>
      <c r="S158" s="126">
        <v>2</v>
      </c>
      <c r="T158" s="106">
        <v>1</v>
      </c>
      <c r="U158" s="127">
        <v>5</v>
      </c>
      <c r="V158" s="106">
        <v>2</v>
      </c>
      <c r="W158" s="106">
        <v>0</v>
      </c>
      <c r="X158" s="109">
        <v>4</v>
      </c>
    </row>
    <row r="159" spans="1:24" x14ac:dyDescent="0.25">
      <c r="B159">
        <v>20080860</v>
      </c>
      <c r="C159" s="103">
        <v>11038.3</v>
      </c>
      <c r="D159" s="108">
        <v>6461.3</v>
      </c>
      <c r="E159" s="114">
        <v>6.6935300000000003E-5</v>
      </c>
      <c r="F159" s="115">
        <v>8.0835100000000001E-5</v>
      </c>
      <c r="G159" s="132">
        <v>6.1590899999999993E-5</v>
      </c>
      <c r="H159" s="133">
        <v>7.4043199999999996E-5</v>
      </c>
      <c r="I159" s="132">
        <v>5.8397299999999997E-5</v>
      </c>
      <c r="J159" s="133">
        <v>6.6583199999999996E-5</v>
      </c>
      <c r="K159" s="115">
        <v>8.1469399999999993E-6</v>
      </c>
      <c r="L159" s="116">
        <v>1.6924099999999999E-5</v>
      </c>
      <c r="M159" s="105">
        <v>3</v>
      </c>
      <c r="N159" s="106">
        <v>9</v>
      </c>
      <c r="O159" s="106">
        <v>16</v>
      </c>
      <c r="P159" s="126">
        <v>0</v>
      </c>
      <c r="Q159" s="106">
        <v>2</v>
      </c>
      <c r="R159" s="127">
        <v>14</v>
      </c>
      <c r="S159" s="126">
        <v>1</v>
      </c>
      <c r="T159" s="106">
        <v>1</v>
      </c>
      <c r="U159" s="127">
        <v>12</v>
      </c>
      <c r="V159" s="106">
        <v>0</v>
      </c>
      <c r="W159" s="106">
        <v>2</v>
      </c>
      <c r="X159" s="109">
        <v>1</v>
      </c>
    </row>
    <row r="160" spans="1:24" x14ac:dyDescent="0.25">
      <c r="B160">
        <v>20080867</v>
      </c>
      <c r="C160" s="103">
        <v>7149.9</v>
      </c>
      <c r="D160" s="108">
        <v>5846</v>
      </c>
      <c r="E160" s="114">
        <v>1.60388E-4</v>
      </c>
      <c r="F160" s="115">
        <v>2.02315E-4</v>
      </c>
      <c r="G160" s="132">
        <v>1.56766E-4</v>
      </c>
      <c r="H160" s="133">
        <v>1.9173200000000001E-4</v>
      </c>
      <c r="I160" s="132">
        <v>1.5415000000000001E-4</v>
      </c>
      <c r="J160" s="133">
        <v>1.8804E-4</v>
      </c>
      <c r="K160" s="115">
        <v>1.5415000000000001E-4</v>
      </c>
      <c r="L160" s="116">
        <v>1.8804E-4</v>
      </c>
      <c r="M160" s="105">
        <v>0</v>
      </c>
      <c r="N160" s="106">
        <v>11</v>
      </c>
      <c r="O160" s="106">
        <v>4</v>
      </c>
      <c r="P160" s="126">
        <v>0</v>
      </c>
      <c r="Q160" s="106">
        <v>2</v>
      </c>
      <c r="R160" s="127">
        <v>2</v>
      </c>
      <c r="S160" s="126">
        <v>0</v>
      </c>
      <c r="T160" s="106">
        <v>1</v>
      </c>
      <c r="U160" s="127">
        <v>1</v>
      </c>
      <c r="V160" s="106">
        <v>0</v>
      </c>
      <c r="W160" s="106">
        <v>1</v>
      </c>
      <c r="X160" s="109">
        <v>1</v>
      </c>
    </row>
    <row r="161" spans="2:24" x14ac:dyDescent="0.25">
      <c r="B161">
        <v>20080869</v>
      </c>
      <c r="C161" s="103">
        <v>19280.099999999999</v>
      </c>
      <c r="D161" s="108">
        <v>6855</v>
      </c>
      <c r="E161" s="114">
        <v>2.8023099999999999E-5</v>
      </c>
      <c r="F161" s="115">
        <v>4.9325600000000001E-5</v>
      </c>
      <c r="G161" s="132">
        <v>1.9851300000000001E-5</v>
      </c>
      <c r="H161" s="133">
        <v>3.6312100000000001E-5</v>
      </c>
      <c r="I161" s="132">
        <v>1.63064E-5</v>
      </c>
      <c r="J161" s="133">
        <v>3.2743800000000003E-5</v>
      </c>
      <c r="K161" s="115">
        <v>1.63064E-5</v>
      </c>
      <c r="L161" s="116">
        <v>3.2533899999999997E-5</v>
      </c>
      <c r="M161" s="105">
        <v>3</v>
      </c>
      <c r="N161" s="106">
        <v>11</v>
      </c>
      <c r="O161" s="106">
        <v>9</v>
      </c>
      <c r="P161" s="126">
        <v>0</v>
      </c>
      <c r="Q161" s="106">
        <v>2</v>
      </c>
      <c r="R161" s="127">
        <v>3</v>
      </c>
      <c r="S161" s="126">
        <v>0</v>
      </c>
      <c r="T161" s="106">
        <v>1</v>
      </c>
      <c r="U161" s="127">
        <v>1</v>
      </c>
      <c r="V161" s="106">
        <v>0</v>
      </c>
      <c r="W161" s="106">
        <v>0</v>
      </c>
      <c r="X161" s="109">
        <v>1</v>
      </c>
    </row>
    <row r="162" spans="2:24" x14ac:dyDescent="0.25">
      <c r="B162">
        <v>20080933</v>
      </c>
      <c r="C162" s="103">
        <v>11883.2</v>
      </c>
      <c r="D162" s="108">
        <v>6394.3</v>
      </c>
      <c r="E162" s="114">
        <v>7.6221600000000002E-5</v>
      </c>
      <c r="F162" s="115">
        <v>7.4706699999999994E-5</v>
      </c>
      <c r="G162" s="132">
        <v>6.0480899999999999E-5</v>
      </c>
      <c r="H162" s="133">
        <v>5.7942699999999997E-5</v>
      </c>
      <c r="I162" s="132">
        <v>2.3550600000000001E-5</v>
      </c>
      <c r="J162" s="133">
        <v>2.0139299999999999E-5</v>
      </c>
      <c r="K162" s="115">
        <v>1.3440200000000001E-5</v>
      </c>
      <c r="L162" s="116">
        <v>1.11385E-5</v>
      </c>
      <c r="M162" s="105">
        <v>2</v>
      </c>
      <c r="N162" s="106">
        <v>5</v>
      </c>
      <c r="O162" s="106">
        <v>25</v>
      </c>
      <c r="P162" s="126">
        <v>2</v>
      </c>
      <c r="Q162" s="106">
        <v>2</v>
      </c>
      <c r="R162" s="127">
        <v>16</v>
      </c>
      <c r="S162" s="126">
        <v>1</v>
      </c>
      <c r="T162" s="106">
        <v>1</v>
      </c>
      <c r="U162" s="127">
        <v>4</v>
      </c>
      <c r="V162" s="106">
        <v>0</v>
      </c>
      <c r="W162" s="106">
        <v>0</v>
      </c>
      <c r="X162" s="109">
        <v>2</v>
      </c>
    </row>
    <row r="163" spans="2:24" x14ac:dyDescent="0.25">
      <c r="B163">
        <v>20080980</v>
      </c>
      <c r="C163" s="103">
        <v>5516.3</v>
      </c>
      <c r="D163" s="108">
        <v>5258.5</v>
      </c>
      <c r="E163" s="114">
        <v>1.70457E-4</v>
      </c>
      <c r="F163" s="115">
        <v>1.8442299999999999E-4</v>
      </c>
      <c r="G163" s="132">
        <v>1.5898099999999999E-4</v>
      </c>
      <c r="H163" s="133">
        <v>1.64859E-4</v>
      </c>
      <c r="I163" s="132">
        <v>1.2859300000000001E-4</v>
      </c>
      <c r="J163" s="133">
        <v>1.3475999999999999E-4</v>
      </c>
      <c r="K163" s="115">
        <v>1.15029E-4</v>
      </c>
      <c r="L163" s="116">
        <v>1.2066900000000001E-4</v>
      </c>
      <c r="M163" s="105">
        <v>1</v>
      </c>
      <c r="N163" s="106">
        <v>12</v>
      </c>
      <c r="O163" s="106">
        <v>20</v>
      </c>
      <c r="P163" s="126">
        <v>1</v>
      </c>
      <c r="Q163" s="106">
        <v>2</v>
      </c>
      <c r="R163" s="127">
        <v>14</v>
      </c>
      <c r="S163" s="126">
        <v>0</v>
      </c>
      <c r="T163" s="106">
        <v>1</v>
      </c>
      <c r="U163" s="127">
        <v>5</v>
      </c>
      <c r="V163" s="106">
        <v>0</v>
      </c>
      <c r="W163" s="106">
        <v>1</v>
      </c>
      <c r="X163" s="109">
        <v>1</v>
      </c>
    </row>
    <row r="164" spans="2:24" x14ac:dyDescent="0.25">
      <c r="B164">
        <v>20081042</v>
      </c>
      <c r="C164" s="103">
        <v>4796.5</v>
      </c>
      <c r="D164" s="108">
        <v>4732.8</v>
      </c>
      <c r="E164" s="114">
        <v>5.3996699999999998E-6</v>
      </c>
      <c r="F164" s="115">
        <v>9.4245999999999995E-6</v>
      </c>
      <c r="G164" s="132">
        <v>2.6998399999999998E-6</v>
      </c>
      <c r="H164" s="133">
        <v>2.1281399999999998E-6</v>
      </c>
      <c r="I164" s="132">
        <v>1.4999100000000001E-6</v>
      </c>
      <c r="J164" s="133">
        <v>2.1281399999999998E-6</v>
      </c>
      <c r="K164" s="115">
        <v>7.4995400000000002E-7</v>
      </c>
      <c r="L164" s="116">
        <v>7.6004799999999998E-7</v>
      </c>
      <c r="M164" s="105">
        <v>0</v>
      </c>
      <c r="N164" s="106">
        <v>4</v>
      </c>
      <c r="O164" s="106">
        <v>5</v>
      </c>
      <c r="P164" s="126">
        <v>1</v>
      </c>
      <c r="Q164" s="106">
        <v>1</v>
      </c>
      <c r="R164" s="127">
        <v>2</v>
      </c>
      <c r="S164" s="126">
        <v>0</v>
      </c>
      <c r="T164" s="106">
        <v>1</v>
      </c>
      <c r="U164" s="127">
        <v>2</v>
      </c>
      <c r="V164" s="106">
        <v>0</v>
      </c>
      <c r="W164" s="106">
        <v>0</v>
      </c>
      <c r="X164" s="109">
        <v>1</v>
      </c>
    </row>
    <row r="165" spans="2:24" x14ac:dyDescent="0.25">
      <c r="B165">
        <v>20081054</v>
      </c>
      <c r="C165" s="103">
        <v>5293.3</v>
      </c>
      <c r="D165" s="108">
        <v>5123.8999999999996</v>
      </c>
      <c r="E165" s="114">
        <v>2.3784599999999999E-5</v>
      </c>
      <c r="F165" s="115">
        <v>4.43682E-5</v>
      </c>
      <c r="G165" s="132">
        <v>8.5624600000000003E-6</v>
      </c>
      <c r="H165" s="133">
        <v>9.1263799999999999E-6</v>
      </c>
      <c r="I165" s="132">
        <v>7.3392500000000001E-6</v>
      </c>
      <c r="J165" s="133">
        <v>7.8627199999999998E-6</v>
      </c>
      <c r="K165" s="115">
        <v>3.9414500000000002E-6</v>
      </c>
      <c r="L165" s="116">
        <v>4.2121699999999997E-6</v>
      </c>
      <c r="M165" s="105">
        <v>0</v>
      </c>
      <c r="N165" s="106">
        <v>27</v>
      </c>
      <c r="O165" s="106">
        <v>13</v>
      </c>
      <c r="P165" s="126">
        <v>0</v>
      </c>
      <c r="Q165" s="106">
        <v>2</v>
      </c>
      <c r="R165" s="127">
        <v>3</v>
      </c>
      <c r="S165" s="126">
        <v>0</v>
      </c>
      <c r="T165" s="106">
        <v>2</v>
      </c>
      <c r="U165" s="127">
        <v>2</v>
      </c>
      <c r="V165" s="106">
        <v>0</v>
      </c>
      <c r="W165" s="106">
        <v>1</v>
      </c>
      <c r="X165" s="109">
        <v>1</v>
      </c>
    </row>
    <row r="166" spans="2:24" x14ac:dyDescent="0.25">
      <c r="B166">
        <v>20081084</v>
      </c>
      <c r="C166" s="103">
        <v>15626</v>
      </c>
      <c r="D166" s="108">
        <v>6873.4</v>
      </c>
      <c r="E166" s="114">
        <v>1.0465E-4</v>
      </c>
      <c r="F166" s="115">
        <v>1.06134E-4</v>
      </c>
      <c r="G166" s="132">
        <v>1.0073600000000001E-4</v>
      </c>
      <c r="H166" s="133">
        <v>9.5980800000000001E-5</v>
      </c>
      <c r="I166" s="132">
        <v>1.0073600000000001E-4</v>
      </c>
      <c r="J166" s="133">
        <v>9.5666800000000004E-5</v>
      </c>
      <c r="K166" s="115">
        <v>1.00414E-4</v>
      </c>
      <c r="L166" s="116">
        <v>9.5143500000000001E-5</v>
      </c>
      <c r="M166" s="105">
        <v>1</v>
      </c>
      <c r="N166" s="106">
        <v>10</v>
      </c>
      <c r="O166" s="106">
        <v>8</v>
      </c>
      <c r="P166" s="126">
        <v>0</v>
      </c>
      <c r="Q166" s="106">
        <v>1</v>
      </c>
      <c r="R166" s="127">
        <v>5</v>
      </c>
      <c r="S166" s="126">
        <v>0</v>
      </c>
      <c r="T166" s="106">
        <v>0</v>
      </c>
      <c r="U166" s="127">
        <v>5</v>
      </c>
      <c r="V166" s="106">
        <v>0</v>
      </c>
      <c r="W166" s="106">
        <v>0</v>
      </c>
      <c r="X166" s="109">
        <v>4</v>
      </c>
    </row>
    <row r="167" spans="2:24" x14ac:dyDescent="0.25">
      <c r="B167">
        <v>20081149</v>
      </c>
      <c r="C167" s="103">
        <v>23599.8</v>
      </c>
      <c r="D167" s="108">
        <v>7552.8</v>
      </c>
      <c r="E167" s="114">
        <v>3.2054300000000001E-4</v>
      </c>
      <c r="F167" s="115">
        <v>1.4145E-4</v>
      </c>
      <c r="G167" s="132">
        <v>3.0682499999999999E-4</v>
      </c>
      <c r="H167" s="133">
        <v>1.23447E-4</v>
      </c>
      <c r="I167" s="132">
        <v>3.0682499999999999E-4</v>
      </c>
      <c r="J167" s="133">
        <v>1.20494E-4</v>
      </c>
      <c r="K167" s="115">
        <v>3.0682499999999999E-4</v>
      </c>
      <c r="L167" s="116">
        <v>1.20494E-4</v>
      </c>
      <c r="M167" s="105">
        <v>6</v>
      </c>
      <c r="N167" s="106">
        <v>10</v>
      </c>
      <c r="O167" s="106">
        <v>16</v>
      </c>
      <c r="P167" s="126">
        <v>1</v>
      </c>
      <c r="Q167" s="106">
        <v>1</v>
      </c>
      <c r="R167" s="127">
        <v>1</v>
      </c>
      <c r="S167" s="126">
        <v>1</v>
      </c>
      <c r="T167" s="106">
        <v>0</v>
      </c>
      <c r="U167" s="127">
        <v>1</v>
      </c>
      <c r="V167" s="106">
        <v>1</v>
      </c>
      <c r="W167" s="106">
        <v>0</v>
      </c>
      <c r="X167" s="109">
        <v>1</v>
      </c>
    </row>
    <row r="168" spans="2:24" x14ac:dyDescent="0.25">
      <c r="B168">
        <v>20081154</v>
      </c>
      <c r="C168" s="103">
        <v>359.7</v>
      </c>
      <c r="D168" s="108">
        <v>358.6</v>
      </c>
      <c r="E168" s="123">
        <v>1.9999999999999999E-7</v>
      </c>
      <c r="F168" s="115">
        <v>3.2100500000000002E-5</v>
      </c>
      <c r="G168" s="134">
        <v>1.9999999999999999E-7</v>
      </c>
      <c r="H168" s="133">
        <v>3.2100500000000002E-5</v>
      </c>
      <c r="I168" s="134">
        <v>1.9999999999999999E-7</v>
      </c>
      <c r="J168" s="133">
        <v>3.2100500000000002E-5</v>
      </c>
      <c r="K168" s="117">
        <v>1.9999999999999999E-7</v>
      </c>
      <c r="L168" s="116">
        <v>1.8056599999999999E-5</v>
      </c>
      <c r="M168" s="105">
        <v>0</v>
      </c>
      <c r="N168" s="106">
        <v>7</v>
      </c>
      <c r="O168" s="106">
        <v>0</v>
      </c>
      <c r="P168" s="126">
        <v>0</v>
      </c>
      <c r="Q168" s="106">
        <v>7</v>
      </c>
      <c r="R168" s="127">
        <v>0</v>
      </c>
      <c r="S168" s="126">
        <v>0</v>
      </c>
      <c r="T168" s="106">
        <v>7</v>
      </c>
      <c r="U168" s="127">
        <v>0</v>
      </c>
      <c r="V168" s="106">
        <v>0</v>
      </c>
      <c r="W168" s="106">
        <v>4</v>
      </c>
      <c r="X168" s="109">
        <v>0</v>
      </c>
    </row>
    <row r="169" spans="2:24" x14ac:dyDescent="0.25">
      <c r="B169">
        <v>20081164</v>
      </c>
      <c r="C169" s="103">
        <v>16013.4</v>
      </c>
      <c r="D169" s="108">
        <v>6774.7</v>
      </c>
      <c r="E169" s="114">
        <v>1.01399E-4</v>
      </c>
      <c r="F169" s="115">
        <v>9.7378200000000002E-5</v>
      </c>
      <c r="G169" s="132">
        <v>9.1335099999999999E-5</v>
      </c>
      <c r="H169" s="133">
        <v>8.2086499999999994E-5</v>
      </c>
      <c r="I169" s="132">
        <v>8.1945499999999997E-5</v>
      </c>
      <c r="J169" s="133">
        <v>6.9874400000000003E-5</v>
      </c>
      <c r="K169" s="115">
        <v>7.2780499999999999E-5</v>
      </c>
      <c r="L169" s="116">
        <v>6.5732899999999995E-5</v>
      </c>
      <c r="M169" s="105">
        <v>4</v>
      </c>
      <c r="N169" s="106">
        <v>6</v>
      </c>
      <c r="O169" s="106">
        <v>21</v>
      </c>
      <c r="P169" s="126">
        <v>2</v>
      </c>
      <c r="Q169" s="106">
        <v>2</v>
      </c>
      <c r="R169" s="127">
        <v>9</v>
      </c>
      <c r="S169" s="126">
        <v>2</v>
      </c>
      <c r="T169" s="106">
        <v>1</v>
      </c>
      <c r="U169" s="127">
        <v>6</v>
      </c>
      <c r="V169" s="106">
        <v>0</v>
      </c>
      <c r="W169" s="106">
        <v>1</v>
      </c>
      <c r="X169" s="109">
        <v>5</v>
      </c>
    </row>
    <row r="170" spans="2:24" x14ac:dyDescent="0.25">
      <c r="B170">
        <v>20081170</v>
      </c>
      <c r="C170" s="103">
        <v>23414</v>
      </c>
      <c r="D170" s="108">
        <v>7614.8</v>
      </c>
      <c r="E170" s="114">
        <v>6.7106200000000005E-5</v>
      </c>
      <c r="F170" s="115">
        <v>6.3394199999999997E-5</v>
      </c>
      <c r="G170" s="132">
        <v>2.1477699999999999E-5</v>
      </c>
      <c r="H170" s="133">
        <v>2.10684E-5</v>
      </c>
      <c r="I170" s="132">
        <v>1.57626E-5</v>
      </c>
      <c r="J170" s="133">
        <v>1.0487E-5</v>
      </c>
      <c r="K170" s="115">
        <v>1.57626E-5</v>
      </c>
      <c r="L170" s="116">
        <v>1.0487E-5</v>
      </c>
      <c r="M170" s="105">
        <v>3</v>
      </c>
      <c r="N170" s="106">
        <v>2</v>
      </c>
      <c r="O170" s="106">
        <v>36</v>
      </c>
      <c r="P170" s="126">
        <v>1</v>
      </c>
      <c r="Q170" s="106">
        <v>3</v>
      </c>
      <c r="R170" s="127">
        <v>2</v>
      </c>
      <c r="S170" s="126">
        <v>0</v>
      </c>
      <c r="T170" s="106">
        <v>0</v>
      </c>
      <c r="U170" s="127">
        <v>1</v>
      </c>
      <c r="V170" s="106">
        <v>0</v>
      </c>
      <c r="W170" s="106">
        <v>0</v>
      </c>
      <c r="X170" s="109">
        <v>1</v>
      </c>
    </row>
    <row r="171" spans="2:24" x14ac:dyDescent="0.25">
      <c r="B171">
        <v>20081207</v>
      </c>
      <c r="C171" s="103">
        <v>326.10000000000002</v>
      </c>
      <c r="D171" s="108">
        <v>325.2</v>
      </c>
      <c r="E171" s="114">
        <v>3.5740000000000001E-4</v>
      </c>
      <c r="F171" s="115">
        <v>4.0925800000000002E-4</v>
      </c>
      <c r="G171" s="132">
        <v>3.5740000000000001E-4</v>
      </c>
      <c r="H171" s="133">
        <v>4.0925800000000002E-4</v>
      </c>
      <c r="I171" s="132">
        <v>3.5740000000000001E-4</v>
      </c>
      <c r="J171" s="133">
        <v>4.0925800000000002E-4</v>
      </c>
      <c r="K171" s="115">
        <v>3.4636900000000002E-4</v>
      </c>
      <c r="L171" s="116">
        <v>3.53953E-4</v>
      </c>
      <c r="M171" s="105">
        <v>0</v>
      </c>
      <c r="N171" s="106">
        <v>8</v>
      </c>
      <c r="O171" s="106">
        <v>12</v>
      </c>
      <c r="P171" s="126">
        <v>0</v>
      </c>
      <c r="Q171" s="106">
        <v>8</v>
      </c>
      <c r="R171" s="127">
        <v>12</v>
      </c>
      <c r="S171" s="126">
        <v>0</v>
      </c>
      <c r="T171" s="106">
        <v>8</v>
      </c>
      <c r="U171" s="127">
        <v>12</v>
      </c>
      <c r="V171" s="106">
        <v>0</v>
      </c>
      <c r="W171" s="106">
        <v>1</v>
      </c>
      <c r="X171" s="109">
        <v>11</v>
      </c>
    </row>
    <row r="172" spans="2:24" x14ac:dyDescent="0.25">
      <c r="B172">
        <v>20081212</v>
      </c>
      <c r="C172" s="103">
        <v>7639.7</v>
      </c>
      <c r="D172" s="108">
        <v>5944.5</v>
      </c>
      <c r="E172" s="114">
        <v>6.1586499999999997E-5</v>
      </c>
      <c r="F172" s="115">
        <v>7.1162100000000001E-5</v>
      </c>
      <c r="G172" s="132">
        <v>5.5653799999999999E-5</v>
      </c>
      <c r="H172" s="133">
        <v>5.83335E-5</v>
      </c>
      <c r="I172" s="132">
        <v>4.9532800000000001E-5</v>
      </c>
      <c r="J172" s="133">
        <v>5.45818E-5</v>
      </c>
      <c r="K172" s="115">
        <v>1.25245E-5</v>
      </c>
      <c r="L172" s="116">
        <v>1.6217200000000001E-5</v>
      </c>
      <c r="M172" s="105">
        <v>0</v>
      </c>
      <c r="N172" s="106">
        <v>8</v>
      </c>
      <c r="O172" s="106">
        <v>15</v>
      </c>
      <c r="P172" s="126">
        <v>1</v>
      </c>
      <c r="Q172" s="106">
        <v>1</v>
      </c>
      <c r="R172" s="127">
        <v>10</v>
      </c>
      <c r="S172" s="126">
        <v>0</v>
      </c>
      <c r="T172" s="106">
        <v>1</v>
      </c>
      <c r="U172" s="127">
        <v>9</v>
      </c>
      <c r="V172" s="106">
        <v>0</v>
      </c>
      <c r="W172" s="106">
        <v>1</v>
      </c>
      <c r="X172" s="109">
        <v>2</v>
      </c>
    </row>
    <row r="173" spans="2:24" x14ac:dyDescent="0.25">
      <c r="B173">
        <v>20090224</v>
      </c>
      <c r="C173" s="103">
        <v>5189.8999999999996</v>
      </c>
      <c r="D173" s="108">
        <v>5063.6000000000004</v>
      </c>
      <c r="E173" s="114">
        <v>4.24181E-5</v>
      </c>
      <c r="F173" s="115">
        <v>4.5322399999999998E-5</v>
      </c>
      <c r="G173" s="132">
        <v>3.6180100000000003E-5</v>
      </c>
      <c r="H173" s="133">
        <v>3.6371600000000003E-5</v>
      </c>
      <c r="I173" s="132">
        <v>3.6180100000000003E-5</v>
      </c>
      <c r="J173" s="133">
        <v>3.6371600000000003E-5</v>
      </c>
      <c r="K173" s="115">
        <v>5.9607100000000002E-6</v>
      </c>
      <c r="L173" s="116">
        <v>5.8251399999999998E-6</v>
      </c>
      <c r="M173" s="105">
        <v>0</v>
      </c>
      <c r="N173" s="106">
        <v>3</v>
      </c>
      <c r="O173" s="106">
        <v>10</v>
      </c>
      <c r="P173" s="126">
        <v>0</v>
      </c>
      <c r="Q173" s="106">
        <v>0</v>
      </c>
      <c r="R173" s="127">
        <v>6</v>
      </c>
      <c r="S173" s="126">
        <v>0</v>
      </c>
      <c r="T173" s="106">
        <v>0</v>
      </c>
      <c r="U173" s="127">
        <v>6</v>
      </c>
      <c r="V173" s="106">
        <v>0</v>
      </c>
      <c r="W173" s="106">
        <v>0</v>
      </c>
      <c r="X173" s="109">
        <v>1</v>
      </c>
    </row>
    <row r="174" spans="2:24" x14ac:dyDescent="0.25">
      <c r="B174">
        <v>20090639</v>
      </c>
      <c r="C174" s="103">
        <v>23603.7</v>
      </c>
      <c r="D174" s="108">
        <v>7125</v>
      </c>
      <c r="E174" s="114">
        <v>3.5356000000000001E-6</v>
      </c>
      <c r="F174" s="115">
        <v>4.1398300000000001E-6</v>
      </c>
      <c r="G174" s="134">
        <v>1.9999999999999999E-7</v>
      </c>
      <c r="H174" s="133">
        <v>4.0388599999999999E-7</v>
      </c>
      <c r="I174" s="134">
        <v>1.9999999999999999E-7</v>
      </c>
      <c r="J174" s="135">
        <v>1.9999999999999999E-7</v>
      </c>
      <c r="K174" s="117">
        <v>1.9999999999999999E-7</v>
      </c>
      <c r="L174" s="118">
        <v>1.9999999999999999E-7</v>
      </c>
      <c r="M174" s="105">
        <v>3</v>
      </c>
      <c r="N174" s="106">
        <v>4</v>
      </c>
      <c r="O174" s="106">
        <v>2</v>
      </c>
      <c r="P174" s="126">
        <v>0</v>
      </c>
      <c r="Q174" s="106">
        <v>1</v>
      </c>
      <c r="R174" s="127">
        <v>0</v>
      </c>
      <c r="S174" s="126">
        <v>0</v>
      </c>
      <c r="T174" s="106">
        <v>0</v>
      </c>
      <c r="U174" s="127">
        <v>0</v>
      </c>
      <c r="V174" s="106">
        <v>0</v>
      </c>
      <c r="W174" s="106">
        <v>0</v>
      </c>
      <c r="X174" s="109">
        <v>0</v>
      </c>
    </row>
    <row r="175" spans="2:24" x14ac:dyDescent="0.25">
      <c r="B175">
        <v>20090816</v>
      </c>
      <c r="C175" s="103">
        <v>22230</v>
      </c>
      <c r="D175" s="108">
        <v>7014.3</v>
      </c>
      <c r="E175" s="114">
        <v>5.7832299999999999E-5</v>
      </c>
      <c r="F175" s="115">
        <v>4.9641300000000002E-5</v>
      </c>
      <c r="G175" s="132">
        <v>4.1035999999999998E-5</v>
      </c>
      <c r="H175" s="133">
        <v>3.4051499999999997E-5</v>
      </c>
      <c r="I175" s="132">
        <v>3.7249600000000003E-5</v>
      </c>
      <c r="J175" s="133">
        <v>3.4051499999999997E-5</v>
      </c>
      <c r="K175" s="115">
        <v>2.67317E-5</v>
      </c>
      <c r="L175" s="116">
        <v>2.09232E-5</v>
      </c>
      <c r="M175" s="105">
        <v>8</v>
      </c>
      <c r="N175" s="106">
        <v>6</v>
      </c>
      <c r="O175" s="106">
        <v>17</v>
      </c>
      <c r="P175" s="126">
        <v>1</v>
      </c>
      <c r="Q175" s="106">
        <v>2</v>
      </c>
      <c r="R175" s="127">
        <v>5</v>
      </c>
      <c r="S175" s="126">
        <v>0</v>
      </c>
      <c r="T175" s="106">
        <v>2</v>
      </c>
      <c r="U175" s="127">
        <v>5</v>
      </c>
      <c r="V175" s="106">
        <v>0</v>
      </c>
      <c r="W175" s="106">
        <v>1</v>
      </c>
      <c r="X175" s="109">
        <v>2</v>
      </c>
    </row>
    <row r="176" spans="2:24" x14ac:dyDescent="0.25">
      <c r="B176">
        <v>20091349</v>
      </c>
      <c r="C176" s="103">
        <v>25652.799999999999</v>
      </c>
      <c r="D176" s="108">
        <v>6921.4</v>
      </c>
      <c r="E176" s="114">
        <v>2.0130500000000001E-4</v>
      </c>
      <c r="F176" s="115">
        <v>2.13289E-4</v>
      </c>
      <c r="G176" s="132">
        <v>1.8181299999999999E-4</v>
      </c>
      <c r="H176" s="133">
        <v>1.9530700000000001E-4</v>
      </c>
      <c r="I176" s="132">
        <v>1.8181299999999999E-4</v>
      </c>
      <c r="J176" s="133">
        <v>1.92604E-4</v>
      </c>
      <c r="K176" s="115">
        <v>1.8161699999999999E-4</v>
      </c>
      <c r="L176" s="116">
        <v>1.9187699999999999E-4</v>
      </c>
      <c r="M176" s="105">
        <v>15</v>
      </c>
      <c r="N176" s="106">
        <v>10</v>
      </c>
      <c r="O176" s="106">
        <v>17</v>
      </c>
      <c r="P176" s="126">
        <v>0</v>
      </c>
      <c r="Q176" s="106">
        <v>3</v>
      </c>
      <c r="R176" s="127">
        <v>3</v>
      </c>
      <c r="S176" s="126">
        <v>0</v>
      </c>
      <c r="T176" s="106">
        <v>1</v>
      </c>
      <c r="U176" s="127">
        <v>3</v>
      </c>
      <c r="V176" s="106">
        <v>0</v>
      </c>
      <c r="W176" s="106">
        <v>1</v>
      </c>
      <c r="X176" s="109">
        <v>2</v>
      </c>
    </row>
    <row r="177" spans="1:24" x14ac:dyDescent="0.25">
      <c r="B177">
        <v>20091939</v>
      </c>
      <c r="C177" s="103">
        <v>27078.6</v>
      </c>
      <c r="D177" s="108">
        <v>7002</v>
      </c>
      <c r="E177" s="114">
        <v>6.7137400000000005E-5</v>
      </c>
      <c r="F177" s="115">
        <v>7.2743999999999993E-5</v>
      </c>
      <c r="G177" s="132">
        <v>4.2774500000000002E-5</v>
      </c>
      <c r="H177" s="133">
        <v>4.9831699999999999E-5</v>
      </c>
      <c r="I177" s="132">
        <v>4.2774500000000002E-5</v>
      </c>
      <c r="J177" s="133">
        <v>4.9831699999999999E-5</v>
      </c>
      <c r="K177" s="115">
        <v>3.7886000000000003E-5</v>
      </c>
      <c r="L177" s="116">
        <v>4.4591700000000002E-5</v>
      </c>
      <c r="M177" s="105">
        <v>14</v>
      </c>
      <c r="N177" s="106">
        <v>11</v>
      </c>
      <c r="O177" s="106">
        <v>18</v>
      </c>
      <c r="P177" s="126">
        <v>1</v>
      </c>
      <c r="Q177" s="106">
        <v>3</v>
      </c>
      <c r="R177" s="127">
        <v>2</v>
      </c>
      <c r="S177" s="126">
        <v>1</v>
      </c>
      <c r="T177" s="106">
        <v>3</v>
      </c>
      <c r="U177" s="127">
        <v>2</v>
      </c>
      <c r="V177" s="106">
        <v>1</v>
      </c>
      <c r="W177" s="106">
        <v>1</v>
      </c>
      <c r="X177" s="109">
        <v>1</v>
      </c>
    </row>
    <row r="178" spans="1:24" x14ac:dyDescent="0.25">
      <c r="B178">
        <v>20091940</v>
      </c>
      <c r="C178" s="103">
        <v>10428.799999999999</v>
      </c>
      <c r="D178" s="108">
        <v>6342.1</v>
      </c>
      <c r="E178" s="114">
        <v>1.24585E-4</v>
      </c>
      <c r="F178" s="115">
        <v>1.44291E-4</v>
      </c>
      <c r="G178" s="132">
        <v>1.18032E-4</v>
      </c>
      <c r="H178" s="133">
        <v>1.3578400000000001E-4</v>
      </c>
      <c r="I178" s="132">
        <v>1.1113299999999999E-4</v>
      </c>
      <c r="J178" s="133">
        <v>1.2682200000000001E-4</v>
      </c>
      <c r="K178" s="115">
        <v>6.2292700000000001E-5</v>
      </c>
      <c r="L178" s="116">
        <v>7.3960600000000005E-5</v>
      </c>
      <c r="M178" s="105">
        <v>2</v>
      </c>
      <c r="N178" s="106">
        <v>6</v>
      </c>
      <c r="O178" s="106">
        <v>27</v>
      </c>
      <c r="P178" s="126">
        <v>0</v>
      </c>
      <c r="Q178" s="106">
        <v>1</v>
      </c>
      <c r="R178" s="127">
        <v>22</v>
      </c>
      <c r="S178" s="126">
        <v>0</v>
      </c>
      <c r="T178" s="106">
        <v>1</v>
      </c>
      <c r="U178" s="127">
        <v>19</v>
      </c>
      <c r="V178" s="106">
        <v>0</v>
      </c>
      <c r="W178" s="106">
        <v>0</v>
      </c>
      <c r="X178" s="109">
        <v>8</v>
      </c>
    </row>
    <row r="179" spans="1:24" x14ac:dyDescent="0.25">
      <c r="C179" s="105"/>
      <c r="D179" s="109"/>
      <c r="E179" s="105"/>
      <c r="F179" s="106"/>
      <c r="G179" s="126"/>
      <c r="H179" s="127"/>
      <c r="I179" s="126"/>
      <c r="J179" s="127"/>
      <c r="K179" s="106"/>
      <c r="L179" s="109"/>
      <c r="M179" s="105"/>
      <c r="N179" s="106"/>
      <c r="O179" s="106"/>
      <c r="P179" s="126"/>
      <c r="Q179" s="106"/>
      <c r="R179" s="127"/>
      <c r="S179" s="126"/>
      <c r="T179" s="106"/>
      <c r="U179" s="127"/>
      <c r="V179" s="106"/>
      <c r="W179" s="106"/>
      <c r="X179" s="109"/>
    </row>
    <row r="180" spans="1:24" x14ac:dyDescent="0.25">
      <c r="A180" t="s">
        <v>1097</v>
      </c>
      <c r="B180">
        <v>20080194</v>
      </c>
      <c r="C180" s="103">
        <v>20160</v>
      </c>
      <c r="D180" s="108">
        <v>6899.7</v>
      </c>
      <c r="E180" s="114">
        <v>6.6189499999999994E-5</v>
      </c>
      <c r="F180" s="115">
        <v>1.22216E-4</v>
      </c>
      <c r="G180" s="132">
        <v>2.1302999999999999E-5</v>
      </c>
      <c r="H180" s="133">
        <v>6.3001099999999996E-5</v>
      </c>
      <c r="I180" s="132">
        <v>1.1403000000000001E-5</v>
      </c>
      <c r="J180" s="133">
        <v>3.8012700000000003E-5</v>
      </c>
      <c r="K180" s="117">
        <v>1.9999999999999999E-7</v>
      </c>
      <c r="L180" s="116">
        <v>1.0449699999999999E-5</v>
      </c>
      <c r="M180" s="105">
        <v>9</v>
      </c>
      <c r="N180" s="106">
        <v>12</v>
      </c>
      <c r="O180" s="106">
        <v>44</v>
      </c>
      <c r="P180" s="126">
        <v>0</v>
      </c>
      <c r="Q180" s="106">
        <v>2</v>
      </c>
      <c r="R180" s="127">
        <v>16</v>
      </c>
      <c r="S180" s="126">
        <v>0</v>
      </c>
      <c r="T180" s="106">
        <v>3</v>
      </c>
      <c r="U180" s="127">
        <v>6</v>
      </c>
      <c r="V180" s="106">
        <v>0</v>
      </c>
      <c r="W180" s="106">
        <v>2</v>
      </c>
      <c r="X180" s="109">
        <v>0</v>
      </c>
    </row>
    <row r="181" spans="1:24" x14ac:dyDescent="0.25">
      <c r="B181">
        <v>20080341</v>
      </c>
      <c r="C181" s="103">
        <v>24552.7</v>
      </c>
      <c r="D181" s="108">
        <v>6994.7</v>
      </c>
      <c r="E181" s="114">
        <v>1.2307999999999999E-4</v>
      </c>
      <c r="F181" s="115">
        <v>1.81208E-4</v>
      </c>
      <c r="G181" s="132">
        <v>3.37065E-5</v>
      </c>
      <c r="H181" s="133">
        <v>1.0143499999999999E-4</v>
      </c>
      <c r="I181" s="132">
        <v>1.4214599999999999E-5</v>
      </c>
      <c r="J181" s="133">
        <v>6.7971600000000005E-5</v>
      </c>
      <c r="K181" s="121">
        <v>4.2558700000000001E-7</v>
      </c>
      <c r="L181" s="116">
        <v>1.15029E-5</v>
      </c>
      <c r="M181" s="105">
        <v>19</v>
      </c>
      <c r="N181" s="106">
        <v>11</v>
      </c>
      <c r="O181" s="106">
        <v>69</v>
      </c>
      <c r="P181" s="126">
        <v>0</v>
      </c>
      <c r="Q181" s="106">
        <v>6</v>
      </c>
      <c r="R181" s="127">
        <v>20</v>
      </c>
      <c r="S181" s="126">
        <v>0</v>
      </c>
      <c r="T181" s="106">
        <v>5</v>
      </c>
      <c r="U181" s="127">
        <v>12</v>
      </c>
      <c r="V181" s="106">
        <v>1</v>
      </c>
      <c r="W181" s="106">
        <v>2</v>
      </c>
      <c r="X181" s="109">
        <v>0</v>
      </c>
    </row>
    <row r="182" spans="1:24" x14ac:dyDescent="0.25">
      <c r="B182">
        <v>20080684</v>
      </c>
      <c r="C182" s="103">
        <v>4498.2</v>
      </c>
      <c r="D182" s="108">
        <v>4475.7</v>
      </c>
      <c r="E182" s="114">
        <v>1.0871599999999999E-4</v>
      </c>
      <c r="F182" s="115">
        <v>1.3331000000000001E-4</v>
      </c>
      <c r="G182" s="132">
        <v>5.8771499999999998E-5</v>
      </c>
      <c r="H182" s="133">
        <v>6.0701800000000002E-5</v>
      </c>
      <c r="I182" s="132">
        <v>2.0209900000000001E-5</v>
      </c>
      <c r="J182" s="133">
        <v>1.8910899999999999E-5</v>
      </c>
      <c r="K182" s="115">
        <v>2.5552800000000002E-6</v>
      </c>
      <c r="L182" s="116">
        <v>2.5681500000000001E-6</v>
      </c>
      <c r="M182" s="105">
        <v>0</v>
      </c>
      <c r="N182" s="106">
        <v>19</v>
      </c>
      <c r="O182" s="106">
        <v>34</v>
      </c>
      <c r="P182" s="126">
        <v>0</v>
      </c>
      <c r="Q182" s="106">
        <v>3</v>
      </c>
      <c r="R182" s="127">
        <v>17</v>
      </c>
      <c r="S182" s="126">
        <v>1</v>
      </c>
      <c r="T182" s="106">
        <v>3</v>
      </c>
      <c r="U182" s="127">
        <v>6</v>
      </c>
      <c r="V182" s="106">
        <v>0</v>
      </c>
      <c r="W182" s="106">
        <v>0</v>
      </c>
      <c r="X182" s="109">
        <v>1</v>
      </c>
    </row>
    <row r="183" spans="1:24" x14ac:dyDescent="0.25">
      <c r="B183">
        <v>20080698</v>
      </c>
      <c r="C183" s="103">
        <v>269.39999999999998</v>
      </c>
      <c r="D183" s="108">
        <v>267.8</v>
      </c>
      <c r="E183" s="114">
        <v>1.5900699999999999E-4</v>
      </c>
      <c r="F183" s="115">
        <v>2.8870700000000003E-4</v>
      </c>
      <c r="G183" s="132">
        <v>1.5900699999999999E-4</v>
      </c>
      <c r="H183" s="133">
        <v>2.8870700000000003E-4</v>
      </c>
      <c r="I183" s="132">
        <v>1.5900699999999999E-4</v>
      </c>
      <c r="J183" s="133">
        <v>2.8870700000000003E-4</v>
      </c>
      <c r="K183" s="115">
        <v>1.5900699999999999E-4</v>
      </c>
      <c r="L183" s="116">
        <v>2.06777E-4</v>
      </c>
      <c r="M183" s="105">
        <v>0</v>
      </c>
      <c r="N183" s="106">
        <v>11</v>
      </c>
      <c r="O183" s="106">
        <v>8</v>
      </c>
      <c r="P183" s="126">
        <v>0</v>
      </c>
      <c r="Q183" s="106">
        <v>11</v>
      </c>
      <c r="R183" s="127">
        <v>8</v>
      </c>
      <c r="S183" s="126">
        <v>0</v>
      </c>
      <c r="T183" s="106">
        <v>11</v>
      </c>
      <c r="U183" s="127">
        <v>8</v>
      </c>
      <c r="V183" s="106">
        <v>0</v>
      </c>
      <c r="W183" s="106">
        <v>4</v>
      </c>
      <c r="X183" s="109">
        <v>8</v>
      </c>
    </row>
    <row r="184" spans="1:24" x14ac:dyDescent="0.25">
      <c r="B184">
        <v>20080719</v>
      </c>
      <c r="C184" s="103">
        <v>12610.1</v>
      </c>
      <c r="D184" s="108">
        <v>6497</v>
      </c>
      <c r="E184" s="114">
        <v>7.7810099999999996E-5</v>
      </c>
      <c r="F184" s="115">
        <v>7.9450999999999995E-5</v>
      </c>
      <c r="G184" s="132">
        <v>4.8061600000000001E-5</v>
      </c>
      <c r="H184" s="133">
        <v>4.7445399999999998E-5</v>
      </c>
      <c r="I184" s="132">
        <v>1.2429700000000001E-5</v>
      </c>
      <c r="J184" s="133">
        <v>2.0908200000000001E-5</v>
      </c>
      <c r="K184" s="117">
        <v>1.9999999999999999E-7</v>
      </c>
      <c r="L184" s="116">
        <v>1.4635699999999999E-5</v>
      </c>
      <c r="M184" s="105">
        <v>3</v>
      </c>
      <c r="N184" s="106">
        <v>5</v>
      </c>
      <c r="O184" s="106">
        <v>22</v>
      </c>
      <c r="P184" s="126">
        <v>2</v>
      </c>
      <c r="Q184" s="106">
        <v>1</v>
      </c>
      <c r="R184" s="127">
        <v>10</v>
      </c>
      <c r="S184" s="126">
        <v>0</v>
      </c>
      <c r="T184" s="106">
        <v>1</v>
      </c>
      <c r="U184" s="127">
        <v>2</v>
      </c>
      <c r="V184" s="106">
        <v>0</v>
      </c>
      <c r="W184" s="106">
        <v>1</v>
      </c>
      <c r="X184" s="109">
        <v>0</v>
      </c>
    </row>
    <row r="185" spans="1:24" x14ac:dyDescent="0.25">
      <c r="B185">
        <v>20080832</v>
      </c>
      <c r="C185" s="103">
        <v>12793.4</v>
      </c>
      <c r="D185" s="108">
        <v>6565</v>
      </c>
      <c r="E185" s="114">
        <v>1.45386E-5</v>
      </c>
      <c r="F185" s="115">
        <v>2.4671000000000001E-5</v>
      </c>
      <c r="G185" s="132">
        <v>7.3509900000000004E-7</v>
      </c>
      <c r="H185" s="133">
        <v>1.1141700000000001E-6</v>
      </c>
      <c r="I185" s="132">
        <v>7.3509900000000004E-7</v>
      </c>
      <c r="J185" s="135">
        <v>1.9999999999999999E-7</v>
      </c>
      <c r="K185" s="117">
        <v>1.9999999999999999E-7</v>
      </c>
      <c r="L185" s="118">
        <v>1.9999999999999999E-7</v>
      </c>
      <c r="M185" s="105">
        <v>3</v>
      </c>
      <c r="N185" s="106">
        <v>13</v>
      </c>
      <c r="O185" s="106">
        <v>7</v>
      </c>
      <c r="P185" s="126">
        <v>0</v>
      </c>
      <c r="Q185" s="106">
        <v>0</v>
      </c>
      <c r="R185" s="127">
        <v>1</v>
      </c>
      <c r="S185" s="126">
        <v>1</v>
      </c>
      <c r="T185" s="106">
        <v>0</v>
      </c>
      <c r="U185" s="127">
        <v>0</v>
      </c>
      <c r="V185" s="106">
        <v>0</v>
      </c>
      <c r="W185" s="106">
        <v>0</v>
      </c>
      <c r="X185" s="109">
        <v>0</v>
      </c>
    </row>
    <row r="186" spans="1:24" x14ac:dyDescent="0.25">
      <c r="B186">
        <v>20080857</v>
      </c>
      <c r="C186" s="103">
        <v>1993.9</v>
      </c>
      <c r="D186" s="108">
        <v>1986.3</v>
      </c>
      <c r="E186" s="114">
        <v>4.2450200000000002E-5</v>
      </c>
      <c r="F186" s="115">
        <v>6.1024799999999999E-5</v>
      </c>
      <c r="G186" s="132">
        <v>4.2450200000000002E-5</v>
      </c>
      <c r="H186" s="133">
        <v>4.4716399999999998E-5</v>
      </c>
      <c r="I186" s="132">
        <v>2.6203800000000001E-5</v>
      </c>
      <c r="J186" s="133">
        <v>2.73559E-5</v>
      </c>
      <c r="K186" s="115">
        <v>7.8611399999999994E-6</v>
      </c>
      <c r="L186" s="116">
        <v>8.9432799999999999E-6</v>
      </c>
      <c r="M186" s="105">
        <v>0</v>
      </c>
      <c r="N186" s="106">
        <v>9</v>
      </c>
      <c r="O186" s="106">
        <v>6</v>
      </c>
      <c r="P186" s="126">
        <v>0</v>
      </c>
      <c r="Q186" s="106">
        <v>2</v>
      </c>
      <c r="R186" s="127">
        <v>6</v>
      </c>
      <c r="S186" s="126">
        <v>0</v>
      </c>
      <c r="T186" s="106">
        <v>1</v>
      </c>
      <c r="U186" s="127">
        <v>3</v>
      </c>
      <c r="V186" s="106">
        <v>0</v>
      </c>
      <c r="W186" s="106">
        <v>1</v>
      </c>
      <c r="X186" s="109">
        <v>1</v>
      </c>
    </row>
    <row r="187" spans="1:24" x14ac:dyDescent="0.25">
      <c r="B187">
        <v>20080860</v>
      </c>
      <c r="C187" s="103">
        <v>3263.4</v>
      </c>
      <c r="D187" s="108">
        <v>3249.5</v>
      </c>
      <c r="E187" s="114">
        <v>2.5295399999999998E-5</v>
      </c>
      <c r="F187" s="115">
        <v>7.2351800000000001E-5</v>
      </c>
      <c r="G187" s="132">
        <v>6.4039099999999996E-6</v>
      </c>
      <c r="H187" s="133">
        <v>1.2541000000000001E-5</v>
      </c>
      <c r="I187" s="134">
        <v>1.9999999999999999E-7</v>
      </c>
      <c r="J187" s="133">
        <v>2.5725100000000002E-6</v>
      </c>
      <c r="K187" s="117">
        <v>1.9999999999999999E-7</v>
      </c>
      <c r="L187" s="118">
        <v>1.9999999999999999E-7</v>
      </c>
      <c r="M187" s="105">
        <v>0</v>
      </c>
      <c r="N187" s="106">
        <v>29</v>
      </c>
      <c r="O187" s="106">
        <v>8</v>
      </c>
      <c r="P187" s="126">
        <v>0</v>
      </c>
      <c r="Q187" s="106">
        <v>5</v>
      </c>
      <c r="R187" s="127">
        <v>2</v>
      </c>
      <c r="S187" s="126">
        <v>0</v>
      </c>
      <c r="T187" s="106">
        <v>2</v>
      </c>
      <c r="U187" s="127">
        <v>0</v>
      </c>
      <c r="V187" s="106">
        <v>0</v>
      </c>
      <c r="W187" s="106">
        <v>0</v>
      </c>
      <c r="X187" s="109">
        <v>0</v>
      </c>
    </row>
    <row r="188" spans="1:24" x14ac:dyDescent="0.25">
      <c r="B188">
        <v>20080867</v>
      </c>
      <c r="C188" s="103">
        <v>44453.5</v>
      </c>
      <c r="D188" s="108">
        <v>7247.3</v>
      </c>
      <c r="E188" s="114">
        <v>7.98269E-5</v>
      </c>
      <c r="F188" s="115">
        <v>8.9825899999999997E-5</v>
      </c>
      <c r="G188" s="132">
        <v>3.0252399999999999E-5</v>
      </c>
      <c r="H188" s="133">
        <v>3.89294E-5</v>
      </c>
      <c r="I188" s="132">
        <v>2.9124100000000001E-5</v>
      </c>
      <c r="J188" s="133">
        <v>3.2729499999999999E-5</v>
      </c>
      <c r="K188" s="117">
        <v>1.9999999999999999E-7</v>
      </c>
      <c r="L188" s="116">
        <v>1.45625E-5</v>
      </c>
      <c r="M188" s="105">
        <v>30</v>
      </c>
      <c r="N188" s="106">
        <v>13</v>
      </c>
      <c r="O188" s="106">
        <v>33</v>
      </c>
      <c r="P188" s="126">
        <v>3</v>
      </c>
      <c r="Q188" s="106">
        <v>3</v>
      </c>
      <c r="R188" s="127">
        <v>5</v>
      </c>
      <c r="S188" s="126">
        <v>2</v>
      </c>
      <c r="T188" s="106">
        <v>0</v>
      </c>
      <c r="U188" s="127">
        <v>4</v>
      </c>
      <c r="V188" s="106">
        <v>0</v>
      </c>
      <c r="W188" s="106">
        <v>1</v>
      </c>
      <c r="X188" s="109">
        <v>0</v>
      </c>
    </row>
    <row r="189" spans="1:24" x14ac:dyDescent="0.25">
      <c r="B189">
        <v>20080869</v>
      </c>
      <c r="C189" s="103">
        <v>64378.5</v>
      </c>
      <c r="D189" s="108">
        <v>7318.4</v>
      </c>
      <c r="E189" s="114">
        <v>5.9681600000000001E-5</v>
      </c>
      <c r="F189" s="115">
        <v>7.7672700000000006E-5</v>
      </c>
      <c r="G189" s="132">
        <v>2.3372700000000001E-6</v>
      </c>
      <c r="H189" s="133">
        <v>2.7413899999999999E-5</v>
      </c>
      <c r="I189" s="132">
        <v>6.9793599999999996E-7</v>
      </c>
      <c r="J189" s="133">
        <v>6.1395700000000001E-6</v>
      </c>
      <c r="K189" s="117">
        <v>1.9999999999999999E-7</v>
      </c>
      <c r="L189" s="118">
        <v>1.9999999999999999E-7</v>
      </c>
      <c r="M189" s="105">
        <v>45</v>
      </c>
      <c r="N189" s="106">
        <v>14</v>
      </c>
      <c r="O189" s="106">
        <v>32</v>
      </c>
      <c r="P189" s="126">
        <v>2</v>
      </c>
      <c r="Q189" s="106">
        <v>7</v>
      </c>
      <c r="R189" s="127">
        <v>2</v>
      </c>
      <c r="S189" s="126">
        <v>0</v>
      </c>
      <c r="T189" s="106">
        <v>1</v>
      </c>
      <c r="U189" s="127">
        <v>1</v>
      </c>
      <c r="V189" s="106">
        <v>0</v>
      </c>
      <c r="W189" s="106">
        <v>0</v>
      </c>
      <c r="X189" s="109">
        <v>0</v>
      </c>
    </row>
    <row r="190" spans="1:24" x14ac:dyDescent="0.25">
      <c r="B190">
        <v>20080933</v>
      </c>
      <c r="C190" s="103">
        <v>16771.5</v>
      </c>
      <c r="D190" s="108">
        <v>6721.4</v>
      </c>
      <c r="E190" s="114">
        <v>4.1681499999999997E-5</v>
      </c>
      <c r="F190" s="115">
        <v>6.3739799999999996E-5</v>
      </c>
      <c r="G190" s="132">
        <v>1.0903199999999999E-5</v>
      </c>
      <c r="H190" s="133">
        <v>1.8966499999999999E-5</v>
      </c>
      <c r="I190" s="132">
        <v>2.18065E-6</v>
      </c>
      <c r="J190" s="133">
        <v>5.5966699999999997E-6</v>
      </c>
      <c r="K190" s="117">
        <v>1.9999999999999999E-7</v>
      </c>
      <c r="L190" s="118">
        <v>1.9999999999999999E-7</v>
      </c>
      <c r="M190" s="105">
        <v>4</v>
      </c>
      <c r="N190" s="106">
        <v>15</v>
      </c>
      <c r="O190" s="106">
        <v>25</v>
      </c>
      <c r="P190" s="126">
        <v>0</v>
      </c>
      <c r="Q190" s="106">
        <v>2</v>
      </c>
      <c r="R190" s="127">
        <v>10</v>
      </c>
      <c r="S190" s="126">
        <v>1</v>
      </c>
      <c r="T190" s="106">
        <v>1</v>
      </c>
      <c r="U190" s="127">
        <v>3</v>
      </c>
      <c r="V190" s="106">
        <v>0</v>
      </c>
      <c r="W190" s="106">
        <v>0</v>
      </c>
      <c r="X190" s="109">
        <v>0</v>
      </c>
    </row>
    <row r="191" spans="1:24" x14ac:dyDescent="0.25">
      <c r="B191">
        <v>20080980</v>
      </c>
      <c r="C191" s="103">
        <v>8679.2999999999993</v>
      </c>
      <c r="D191" s="108">
        <v>6056.1</v>
      </c>
      <c r="E191" s="114">
        <v>1.09678E-4</v>
      </c>
      <c r="F191" s="115">
        <v>1.07493E-4</v>
      </c>
      <c r="G191" s="132">
        <v>3.2626599999999997E-5</v>
      </c>
      <c r="H191" s="133">
        <v>3.03673E-5</v>
      </c>
      <c r="I191" s="132">
        <v>1.85406E-5</v>
      </c>
      <c r="J191" s="133">
        <v>1.58738E-5</v>
      </c>
      <c r="K191" s="117">
        <v>1.9999999999999999E-7</v>
      </c>
      <c r="L191" s="116">
        <v>1.4838600000000001E-5</v>
      </c>
      <c r="M191" s="105">
        <v>0</v>
      </c>
      <c r="N191" s="106">
        <v>6</v>
      </c>
      <c r="O191" s="106">
        <v>35</v>
      </c>
      <c r="P191" s="126">
        <v>1</v>
      </c>
      <c r="Q191" s="106">
        <v>1</v>
      </c>
      <c r="R191" s="127">
        <v>6</v>
      </c>
      <c r="S191" s="126">
        <v>1</v>
      </c>
      <c r="T191" s="106">
        <v>0</v>
      </c>
      <c r="U191" s="127">
        <v>2</v>
      </c>
      <c r="V191" s="106">
        <v>0</v>
      </c>
      <c r="W191" s="106">
        <v>1</v>
      </c>
      <c r="X191" s="109">
        <v>0</v>
      </c>
    </row>
    <row r="192" spans="1:24" x14ac:dyDescent="0.25">
      <c r="B192">
        <v>20081042</v>
      </c>
      <c r="C192" s="103">
        <v>2379.3000000000002</v>
      </c>
      <c r="D192" s="108">
        <v>2355.1999999999998</v>
      </c>
      <c r="E192" s="114">
        <v>3.0741700000000002E-6</v>
      </c>
      <c r="F192" s="115">
        <v>1.02045E-5</v>
      </c>
      <c r="G192" s="132">
        <v>3.0741700000000002E-6</v>
      </c>
      <c r="H192" s="135">
        <v>1.9999999999999999E-7</v>
      </c>
      <c r="I192" s="134">
        <v>1.9999999999999999E-7</v>
      </c>
      <c r="J192" s="135">
        <v>1.9999999999999999E-7</v>
      </c>
      <c r="K192" s="117">
        <v>1.9999999999999999E-7</v>
      </c>
      <c r="L192" s="118">
        <v>1.9999999999999999E-7</v>
      </c>
      <c r="M192" s="105">
        <v>0</v>
      </c>
      <c r="N192" s="106">
        <v>3</v>
      </c>
      <c r="O192" s="106">
        <v>1</v>
      </c>
      <c r="P192" s="126">
        <v>1</v>
      </c>
      <c r="Q192" s="106">
        <v>0</v>
      </c>
      <c r="R192" s="127">
        <v>0</v>
      </c>
      <c r="S192" s="126">
        <v>0</v>
      </c>
      <c r="T192" s="106">
        <v>0</v>
      </c>
      <c r="U192" s="127">
        <v>0</v>
      </c>
      <c r="V192" s="106">
        <v>0</v>
      </c>
      <c r="W192" s="106">
        <v>0</v>
      </c>
      <c r="X192" s="109">
        <v>0</v>
      </c>
    </row>
    <row r="193" spans="1:24" x14ac:dyDescent="0.25">
      <c r="B193">
        <v>20081054</v>
      </c>
      <c r="C193" s="103">
        <v>1120.4000000000001</v>
      </c>
      <c r="D193" s="108">
        <v>1116.0999999999999</v>
      </c>
      <c r="E193" s="114">
        <v>8.8601899999999996E-5</v>
      </c>
      <c r="F193" s="115">
        <v>1.5073699999999999E-4</v>
      </c>
      <c r="G193" s="132">
        <v>8.8601899999999996E-5</v>
      </c>
      <c r="H193" s="133">
        <v>1.2171300000000001E-4</v>
      </c>
      <c r="I193" s="132">
        <v>8.2073300000000006E-5</v>
      </c>
      <c r="J193" s="133">
        <v>9.5497900000000006E-5</v>
      </c>
      <c r="K193" s="115">
        <v>2.51816E-5</v>
      </c>
      <c r="L193" s="116">
        <v>4.58765E-5</v>
      </c>
      <c r="M193" s="105">
        <v>0</v>
      </c>
      <c r="N193" s="106">
        <v>18</v>
      </c>
      <c r="O193" s="106">
        <v>15</v>
      </c>
      <c r="P193" s="126">
        <v>0</v>
      </c>
      <c r="Q193" s="106">
        <v>10</v>
      </c>
      <c r="R193" s="127">
        <v>15</v>
      </c>
      <c r="S193" s="126">
        <v>1</v>
      </c>
      <c r="T193" s="106">
        <v>7</v>
      </c>
      <c r="U193" s="127">
        <v>13</v>
      </c>
      <c r="V193" s="106">
        <v>0</v>
      </c>
      <c r="W193" s="106">
        <v>6</v>
      </c>
      <c r="X193" s="109">
        <v>5</v>
      </c>
    </row>
    <row r="194" spans="1:24" x14ac:dyDescent="0.25">
      <c r="B194">
        <v>20081084</v>
      </c>
      <c r="C194" s="103">
        <v>896.4</v>
      </c>
      <c r="D194" s="108">
        <v>887.9</v>
      </c>
      <c r="E194" s="114">
        <v>4.8028600000000002E-4</v>
      </c>
      <c r="F194" s="115">
        <v>5.3309400000000002E-4</v>
      </c>
      <c r="G194" s="132">
        <v>4.8028600000000002E-4</v>
      </c>
      <c r="H194" s="133">
        <v>5.1426499999999997E-4</v>
      </c>
      <c r="I194" s="132">
        <v>4.4881100000000002E-4</v>
      </c>
      <c r="J194" s="133">
        <v>4.5307099999999999E-4</v>
      </c>
      <c r="K194" s="115">
        <v>3.5322000000000001E-4</v>
      </c>
      <c r="L194" s="116">
        <v>3.5539600000000001E-4</v>
      </c>
      <c r="M194" s="105">
        <v>0</v>
      </c>
      <c r="N194" s="106">
        <v>13</v>
      </c>
      <c r="O194" s="106">
        <v>35</v>
      </c>
      <c r="P194" s="126">
        <v>0</v>
      </c>
      <c r="Q194" s="106">
        <v>8</v>
      </c>
      <c r="R194" s="127">
        <v>35</v>
      </c>
      <c r="S194" s="126">
        <v>0</v>
      </c>
      <c r="T194" s="106">
        <v>2</v>
      </c>
      <c r="U194" s="127">
        <v>31</v>
      </c>
      <c r="V194" s="106">
        <v>0</v>
      </c>
      <c r="W194" s="106">
        <v>1</v>
      </c>
      <c r="X194" s="109">
        <v>21</v>
      </c>
    </row>
    <row r="195" spans="1:24" x14ac:dyDescent="0.25">
      <c r="B195">
        <v>20081149</v>
      </c>
      <c r="C195" s="103">
        <v>30692</v>
      </c>
      <c r="D195" s="108">
        <v>7589.5</v>
      </c>
      <c r="E195" s="114">
        <v>2.2725499999999999E-4</v>
      </c>
      <c r="F195" s="115">
        <v>8.7978899999999999E-5</v>
      </c>
      <c r="G195" s="132">
        <v>2.1486199999999999E-4</v>
      </c>
      <c r="H195" s="133">
        <v>7.2283100000000006E-5</v>
      </c>
      <c r="I195" s="132">
        <v>2.1230899999999999E-4</v>
      </c>
      <c r="J195" s="133">
        <v>6.1406299999999995E-5</v>
      </c>
      <c r="K195" s="115">
        <v>2.1016399999999999E-4</v>
      </c>
      <c r="L195" s="116">
        <v>4.9290199999999998E-5</v>
      </c>
      <c r="M195" s="105">
        <v>5</v>
      </c>
      <c r="N195" s="106">
        <v>7</v>
      </c>
      <c r="O195" s="106">
        <v>11</v>
      </c>
      <c r="P195" s="126">
        <v>1</v>
      </c>
      <c r="Q195" s="106">
        <v>2</v>
      </c>
      <c r="R195" s="127">
        <v>5</v>
      </c>
      <c r="S195" s="126">
        <v>1</v>
      </c>
      <c r="T195" s="106">
        <v>1</v>
      </c>
      <c r="U195" s="127">
        <v>3</v>
      </c>
      <c r="V195" s="106">
        <v>1</v>
      </c>
      <c r="W195" s="106">
        <v>0</v>
      </c>
      <c r="X195" s="109">
        <v>1</v>
      </c>
    </row>
    <row r="196" spans="1:24" x14ac:dyDescent="0.25">
      <c r="B196">
        <v>20081154</v>
      </c>
      <c r="C196" s="103">
        <v>9995.7000000000007</v>
      </c>
      <c r="D196" s="108">
        <v>6308.6</v>
      </c>
      <c r="E196" s="114">
        <v>3.4393200000000001E-5</v>
      </c>
      <c r="F196" s="115">
        <v>4.7371699999999999E-5</v>
      </c>
      <c r="G196" s="132">
        <v>7.4222400000000001E-6</v>
      </c>
      <c r="H196" s="133">
        <v>1.54041E-5</v>
      </c>
      <c r="I196" s="132">
        <v>5.8541600000000004E-6</v>
      </c>
      <c r="J196" s="133">
        <v>1.06007E-5</v>
      </c>
      <c r="K196" s="115">
        <v>5.2269300000000003E-6</v>
      </c>
      <c r="L196" s="116">
        <v>8.1161300000000005E-6</v>
      </c>
      <c r="M196" s="105">
        <v>6</v>
      </c>
      <c r="N196" s="106">
        <v>19</v>
      </c>
      <c r="O196" s="106">
        <v>14</v>
      </c>
      <c r="P196" s="126">
        <v>0</v>
      </c>
      <c r="Q196" s="106">
        <v>5</v>
      </c>
      <c r="R196" s="127">
        <v>4</v>
      </c>
      <c r="S196" s="126">
        <v>0</v>
      </c>
      <c r="T196" s="106">
        <v>2</v>
      </c>
      <c r="U196" s="127">
        <v>2</v>
      </c>
      <c r="V196" s="106">
        <v>0</v>
      </c>
      <c r="W196" s="106">
        <v>0</v>
      </c>
      <c r="X196" s="109">
        <v>1</v>
      </c>
    </row>
    <row r="197" spans="1:24" x14ac:dyDescent="0.25">
      <c r="B197">
        <v>20081164</v>
      </c>
      <c r="C197" s="103">
        <v>52779.5</v>
      </c>
      <c r="D197" s="108">
        <v>7393.4</v>
      </c>
      <c r="E197" s="114">
        <v>1.9964399999999999E-4</v>
      </c>
      <c r="F197" s="115">
        <v>2.6146699999999998E-4</v>
      </c>
      <c r="G197" s="132">
        <v>1.4799100000000001E-4</v>
      </c>
      <c r="H197" s="133">
        <v>2.0267199999999999E-4</v>
      </c>
      <c r="I197" s="132">
        <v>1.4274399999999999E-4</v>
      </c>
      <c r="J197" s="133">
        <v>1.8019999999999999E-4</v>
      </c>
      <c r="K197" s="115">
        <v>1.30944E-4</v>
      </c>
      <c r="L197" s="116">
        <v>1.6832800000000001E-4</v>
      </c>
      <c r="M197" s="105">
        <v>34</v>
      </c>
      <c r="N197" s="106">
        <v>10</v>
      </c>
      <c r="O197" s="106">
        <v>42</v>
      </c>
      <c r="P197" s="126">
        <v>0</v>
      </c>
      <c r="Q197" s="106">
        <v>4</v>
      </c>
      <c r="R197" s="127">
        <v>10</v>
      </c>
      <c r="S197" s="126">
        <v>1</v>
      </c>
      <c r="T197" s="106">
        <v>0</v>
      </c>
      <c r="U197" s="127">
        <v>7</v>
      </c>
      <c r="V197" s="106">
        <v>1</v>
      </c>
      <c r="W197" s="106">
        <v>1</v>
      </c>
      <c r="X197" s="109">
        <v>4</v>
      </c>
    </row>
    <row r="198" spans="1:24" x14ac:dyDescent="0.25">
      <c r="B198">
        <v>20081170</v>
      </c>
      <c r="C198" s="103">
        <v>56498.8</v>
      </c>
      <c r="D198" s="108">
        <v>7704.2</v>
      </c>
      <c r="E198" s="114">
        <v>4.4110000000000003E-5</v>
      </c>
      <c r="F198" s="115">
        <v>6.2119200000000007E-5</v>
      </c>
      <c r="G198" s="132">
        <v>2.0344200000000001E-6</v>
      </c>
      <c r="H198" s="133">
        <v>3.5399799999999999E-5</v>
      </c>
      <c r="I198" s="132">
        <v>1.55356E-6</v>
      </c>
      <c r="J198" s="133">
        <v>1.42413E-5</v>
      </c>
      <c r="K198" s="117">
        <v>1.9999999999999999E-7</v>
      </c>
      <c r="L198" s="118">
        <v>1.9999999999999999E-7</v>
      </c>
      <c r="M198" s="105">
        <v>18</v>
      </c>
      <c r="N198" s="106">
        <v>5</v>
      </c>
      <c r="O198" s="106">
        <v>24</v>
      </c>
      <c r="P198" s="126">
        <v>0</v>
      </c>
      <c r="Q198" s="106">
        <v>5</v>
      </c>
      <c r="R198" s="127">
        <v>3</v>
      </c>
      <c r="S198" s="126">
        <v>0</v>
      </c>
      <c r="T198" s="106">
        <v>1</v>
      </c>
      <c r="U198" s="127">
        <v>2</v>
      </c>
      <c r="V198" s="106">
        <v>0</v>
      </c>
      <c r="W198" s="106">
        <v>0</v>
      </c>
      <c r="X198" s="109">
        <v>0</v>
      </c>
    </row>
    <row r="199" spans="1:24" x14ac:dyDescent="0.25">
      <c r="B199">
        <v>20081207</v>
      </c>
      <c r="C199" s="103">
        <v>5414</v>
      </c>
      <c r="D199" s="108">
        <v>5274.5</v>
      </c>
      <c r="E199" s="114">
        <v>4.0743799999999998E-4</v>
      </c>
      <c r="F199" s="115">
        <v>4.3168500000000001E-4</v>
      </c>
      <c r="G199" s="132">
        <v>3.8601400000000001E-4</v>
      </c>
      <c r="H199" s="133">
        <v>3.8077100000000002E-4</v>
      </c>
      <c r="I199" s="132">
        <v>3.1363700000000002E-4</v>
      </c>
      <c r="J199" s="133">
        <v>2.7993199999999999E-4</v>
      </c>
      <c r="K199" s="115">
        <v>1.2835E-4</v>
      </c>
      <c r="L199" s="116">
        <v>1.2441399999999999E-4</v>
      </c>
      <c r="M199" s="105">
        <v>0</v>
      </c>
      <c r="N199" s="106">
        <v>22</v>
      </c>
      <c r="O199" s="106">
        <v>71</v>
      </c>
      <c r="P199" s="126">
        <v>0</v>
      </c>
      <c r="Q199" s="106">
        <v>1</v>
      </c>
      <c r="R199" s="127">
        <v>62</v>
      </c>
      <c r="S199" s="126">
        <v>4</v>
      </c>
      <c r="T199" s="106">
        <v>0</v>
      </c>
      <c r="U199" s="127">
        <v>42</v>
      </c>
      <c r="V199" s="106">
        <v>1</v>
      </c>
      <c r="W199" s="106">
        <v>0</v>
      </c>
      <c r="X199" s="109">
        <v>21</v>
      </c>
    </row>
    <row r="200" spans="1:24" x14ac:dyDescent="0.25">
      <c r="B200">
        <v>20081212</v>
      </c>
      <c r="C200" s="103">
        <v>1811.2</v>
      </c>
      <c r="D200" s="108">
        <v>1802.3</v>
      </c>
      <c r="E200" s="114">
        <v>1.9500499999999999E-4</v>
      </c>
      <c r="F200" s="115">
        <v>2.5104700000000001E-4</v>
      </c>
      <c r="G200" s="132">
        <v>1.78851E-4</v>
      </c>
      <c r="H200" s="133">
        <v>1.9944599999999999E-4</v>
      </c>
      <c r="I200" s="132">
        <v>9.9233499999999998E-5</v>
      </c>
      <c r="J200" s="133">
        <v>1.0900000000000001E-4</v>
      </c>
      <c r="K200" s="115">
        <v>4.7308999999999997E-5</v>
      </c>
      <c r="L200" s="116">
        <v>5.3340300000000002E-5</v>
      </c>
      <c r="M200" s="105">
        <v>0</v>
      </c>
      <c r="N200" s="106">
        <v>21</v>
      </c>
      <c r="O200" s="106">
        <v>36</v>
      </c>
      <c r="P200" s="126">
        <v>1</v>
      </c>
      <c r="Q200" s="106">
        <v>11</v>
      </c>
      <c r="R200" s="127">
        <v>31</v>
      </c>
      <c r="S200" s="126">
        <v>0</v>
      </c>
      <c r="T200" s="106">
        <v>6</v>
      </c>
      <c r="U200" s="127">
        <v>16</v>
      </c>
      <c r="V200" s="106">
        <v>0</v>
      </c>
      <c r="W200" s="106">
        <v>3</v>
      </c>
      <c r="X200" s="109">
        <v>9</v>
      </c>
    </row>
    <row r="201" spans="1:24" x14ac:dyDescent="0.25">
      <c r="B201">
        <v>20090224</v>
      </c>
      <c r="C201" s="103">
        <v>70416.800000000003</v>
      </c>
      <c r="D201" s="108">
        <v>7333.3</v>
      </c>
      <c r="E201" s="114">
        <v>1.13149E-4</v>
      </c>
      <c r="F201" s="115">
        <v>1.0686799999999999E-4</v>
      </c>
      <c r="G201" s="132">
        <v>9.3546499999999996E-5</v>
      </c>
      <c r="H201" s="133">
        <v>9.5041400000000001E-5</v>
      </c>
      <c r="I201" s="132">
        <v>7.9775699999999996E-5</v>
      </c>
      <c r="J201" s="133">
        <v>8.6776999999999999E-5</v>
      </c>
      <c r="K201" s="115">
        <v>2.8758399999999999E-5</v>
      </c>
      <c r="L201" s="116">
        <v>3.3485400000000003E-5</v>
      </c>
      <c r="M201" s="105">
        <v>15</v>
      </c>
      <c r="N201" s="106">
        <v>3</v>
      </c>
      <c r="O201" s="106">
        <v>18</v>
      </c>
      <c r="P201" s="126">
        <v>4</v>
      </c>
      <c r="Q201" s="106">
        <v>2</v>
      </c>
      <c r="R201" s="127">
        <v>10</v>
      </c>
      <c r="S201" s="126">
        <v>1</v>
      </c>
      <c r="T201" s="106">
        <v>3</v>
      </c>
      <c r="U201" s="127">
        <v>7</v>
      </c>
      <c r="V201" s="106">
        <v>1</v>
      </c>
      <c r="W201" s="106">
        <v>1</v>
      </c>
      <c r="X201" s="109">
        <v>1</v>
      </c>
    </row>
    <row r="202" spans="1:24" x14ac:dyDescent="0.25">
      <c r="B202">
        <v>20090639</v>
      </c>
      <c r="C202" s="103" t="s">
        <v>49</v>
      </c>
      <c r="D202" s="108" t="s">
        <v>49</v>
      </c>
      <c r="E202" s="103" t="s">
        <v>49</v>
      </c>
      <c r="F202" s="104" t="s">
        <v>49</v>
      </c>
      <c r="G202" s="128" t="s">
        <v>49</v>
      </c>
      <c r="H202" s="129" t="s">
        <v>49</v>
      </c>
      <c r="I202" s="128" t="s">
        <v>49</v>
      </c>
      <c r="J202" s="129" t="s">
        <v>49</v>
      </c>
      <c r="K202" s="104" t="s">
        <v>49</v>
      </c>
      <c r="L202" s="108" t="s">
        <v>49</v>
      </c>
      <c r="M202" s="103" t="s">
        <v>49</v>
      </c>
      <c r="N202" s="104" t="s">
        <v>49</v>
      </c>
      <c r="O202" s="104" t="s">
        <v>49</v>
      </c>
      <c r="P202" s="128" t="s">
        <v>49</v>
      </c>
      <c r="Q202" s="104" t="s">
        <v>49</v>
      </c>
      <c r="R202" s="129" t="s">
        <v>49</v>
      </c>
      <c r="S202" s="128" t="s">
        <v>49</v>
      </c>
      <c r="T202" s="104" t="s">
        <v>49</v>
      </c>
      <c r="U202" s="129" t="s">
        <v>49</v>
      </c>
      <c r="V202" s="104" t="s">
        <v>49</v>
      </c>
      <c r="W202" s="104" t="s">
        <v>49</v>
      </c>
      <c r="X202" s="108" t="s">
        <v>49</v>
      </c>
    </row>
    <row r="203" spans="1:24" x14ac:dyDescent="0.25">
      <c r="B203">
        <v>20090816</v>
      </c>
      <c r="C203" s="103">
        <v>29877.1</v>
      </c>
      <c r="D203" s="108">
        <v>7054.7</v>
      </c>
      <c r="E203" s="114">
        <v>1.35735E-4</v>
      </c>
      <c r="F203" s="115">
        <v>2.2558499999999999E-4</v>
      </c>
      <c r="G203" s="132">
        <v>6.1274999999999999E-5</v>
      </c>
      <c r="H203" s="133">
        <v>1.46193E-4</v>
      </c>
      <c r="I203" s="132">
        <v>4.6236000000000003E-5</v>
      </c>
      <c r="J203" s="133">
        <v>1.17606E-4</v>
      </c>
      <c r="K203" s="115">
        <v>2.7000199999999999E-5</v>
      </c>
      <c r="L203" s="116">
        <v>3.6733500000000003E-5</v>
      </c>
      <c r="M203" s="105">
        <v>17</v>
      </c>
      <c r="N203" s="106">
        <v>14</v>
      </c>
      <c r="O203" s="106">
        <v>65</v>
      </c>
      <c r="P203" s="126">
        <v>3</v>
      </c>
      <c r="Q203" s="106">
        <v>4</v>
      </c>
      <c r="R203" s="127">
        <v>23</v>
      </c>
      <c r="S203" s="126">
        <v>3</v>
      </c>
      <c r="T203" s="106">
        <v>5</v>
      </c>
      <c r="U203" s="127">
        <v>14</v>
      </c>
      <c r="V203" s="106">
        <v>2</v>
      </c>
      <c r="W203" s="106">
        <v>0</v>
      </c>
      <c r="X203" s="109">
        <v>5</v>
      </c>
    </row>
    <row r="204" spans="1:24" x14ac:dyDescent="0.25">
      <c r="B204">
        <v>20091349</v>
      </c>
      <c r="C204" s="103">
        <v>1616.2</v>
      </c>
      <c r="D204" s="108">
        <v>1607.9</v>
      </c>
      <c r="E204" s="114">
        <v>6.1938100000000001E-4</v>
      </c>
      <c r="F204" s="115">
        <v>6.8300200000000004E-4</v>
      </c>
      <c r="G204" s="132">
        <v>5.9675199999999998E-4</v>
      </c>
      <c r="H204" s="133">
        <v>5.9462100000000004E-4</v>
      </c>
      <c r="I204" s="132">
        <v>3.9567999999999998E-4</v>
      </c>
      <c r="J204" s="133">
        <v>3.9381399999999998E-4</v>
      </c>
      <c r="K204" s="115">
        <v>2.4633000000000001E-4</v>
      </c>
      <c r="L204" s="116">
        <v>2.4564699999999999E-4</v>
      </c>
      <c r="M204" s="105">
        <v>0</v>
      </c>
      <c r="N204" s="106">
        <v>23</v>
      </c>
      <c r="O204" s="106">
        <v>84</v>
      </c>
      <c r="P204" s="126">
        <v>2</v>
      </c>
      <c r="Q204" s="106">
        <v>4</v>
      </c>
      <c r="R204" s="127">
        <v>77</v>
      </c>
      <c r="S204" s="126">
        <v>1</v>
      </c>
      <c r="T204" s="106">
        <v>2</v>
      </c>
      <c r="U204" s="127">
        <v>42</v>
      </c>
      <c r="V204" s="106">
        <v>0</v>
      </c>
      <c r="W204" s="106">
        <v>1</v>
      </c>
      <c r="X204" s="109">
        <v>24</v>
      </c>
    </row>
    <row r="205" spans="1:24" x14ac:dyDescent="0.25">
      <c r="B205">
        <v>20091939</v>
      </c>
      <c r="C205" s="103">
        <v>13421.6</v>
      </c>
      <c r="D205" s="108">
        <v>6453.4</v>
      </c>
      <c r="E205" s="114">
        <v>4.3754200000000002E-5</v>
      </c>
      <c r="F205" s="115">
        <v>6.3149000000000001E-5</v>
      </c>
      <c r="G205" s="132">
        <v>1.21453E-5</v>
      </c>
      <c r="H205" s="133">
        <v>1.27917E-5</v>
      </c>
      <c r="I205" s="132">
        <v>7.0068899999999999E-6</v>
      </c>
      <c r="J205" s="133">
        <v>6.8006599999999997E-6</v>
      </c>
      <c r="K205" s="117">
        <v>1.9999999999999999E-7</v>
      </c>
      <c r="L205" s="118">
        <v>1.9999999999999999E-7</v>
      </c>
      <c r="M205" s="105">
        <v>2</v>
      </c>
      <c r="N205" s="106">
        <v>17</v>
      </c>
      <c r="O205" s="106">
        <v>21</v>
      </c>
      <c r="P205" s="126">
        <v>1</v>
      </c>
      <c r="Q205" s="106">
        <v>1</v>
      </c>
      <c r="R205" s="127">
        <v>3</v>
      </c>
      <c r="S205" s="126">
        <v>1</v>
      </c>
      <c r="T205" s="106">
        <v>0</v>
      </c>
      <c r="U205" s="127">
        <v>1</v>
      </c>
      <c r="V205" s="106">
        <v>0</v>
      </c>
      <c r="W205" s="106">
        <v>0</v>
      </c>
      <c r="X205" s="109">
        <v>0</v>
      </c>
    </row>
    <row r="206" spans="1:24" x14ac:dyDescent="0.25">
      <c r="B206">
        <v>20091940</v>
      </c>
      <c r="C206" s="103">
        <v>7144.4</v>
      </c>
      <c r="D206" s="108">
        <v>5795.8</v>
      </c>
      <c r="E206" s="114">
        <v>1.70538E-4</v>
      </c>
      <c r="F206" s="115">
        <v>1.9886E-4</v>
      </c>
      <c r="G206" s="132">
        <v>7.8540899999999999E-5</v>
      </c>
      <c r="H206" s="133">
        <v>7.8606499999999994E-5</v>
      </c>
      <c r="I206" s="132">
        <v>3.9636099999999998E-5</v>
      </c>
      <c r="J206" s="133">
        <v>3.2812799999999999E-5</v>
      </c>
      <c r="K206" s="117">
        <v>1.9999999999999999E-7</v>
      </c>
      <c r="L206" s="118">
        <v>1.9999999999999999E-7</v>
      </c>
      <c r="M206" s="105">
        <v>2</v>
      </c>
      <c r="N206" s="106">
        <v>25</v>
      </c>
      <c r="O206" s="106">
        <v>58</v>
      </c>
      <c r="P206" s="126">
        <v>0</v>
      </c>
      <c r="Q206" s="106">
        <v>0</v>
      </c>
      <c r="R206" s="127">
        <v>18</v>
      </c>
      <c r="S206" s="126">
        <v>1</v>
      </c>
      <c r="T206" s="106">
        <v>0</v>
      </c>
      <c r="U206" s="127">
        <v>7</v>
      </c>
      <c r="V206" s="106">
        <v>0</v>
      </c>
      <c r="W206" s="106">
        <v>0</v>
      </c>
      <c r="X206" s="109">
        <v>0</v>
      </c>
    </row>
    <row r="207" spans="1:24" x14ac:dyDescent="0.25">
      <c r="C207" s="105"/>
      <c r="D207" s="109"/>
      <c r="E207" s="105"/>
      <c r="F207" s="106"/>
      <c r="G207" s="126"/>
      <c r="H207" s="127"/>
      <c r="I207" s="126"/>
      <c r="J207" s="127"/>
      <c r="K207" s="106"/>
      <c r="L207" s="109"/>
      <c r="M207" s="105"/>
      <c r="N207" s="106"/>
      <c r="O207" s="106"/>
      <c r="P207" s="126"/>
      <c r="Q207" s="106"/>
      <c r="R207" s="127"/>
      <c r="S207" s="126"/>
      <c r="T207" s="106"/>
      <c r="U207" s="127"/>
      <c r="V207" s="106"/>
      <c r="W207" s="106"/>
      <c r="X207" s="109"/>
    </row>
    <row r="208" spans="1:24" x14ac:dyDescent="0.25">
      <c r="A208" t="s">
        <v>1098</v>
      </c>
      <c r="B208">
        <v>20080194</v>
      </c>
      <c r="C208" s="103">
        <v>26112.2</v>
      </c>
      <c r="D208" s="108">
        <v>6875.2</v>
      </c>
      <c r="E208" s="114">
        <v>2.3363999999999999E-5</v>
      </c>
      <c r="F208" s="115">
        <v>2.9519400000000001E-5</v>
      </c>
      <c r="G208" s="132">
        <v>6.7831100000000002E-6</v>
      </c>
      <c r="H208" s="133">
        <v>8.9452599999999995E-6</v>
      </c>
      <c r="I208" s="132">
        <v>6.7831100000000002E-6</v>
      </c>
      <c r="J208" s="133">
        <v>8.9452599999999995E-6</v>
      </c>
      <c r="K208" s="115">
        <v>6.7831100000000002E-6</v>
      </c>
      <c r="L208" s="116">
        <v>8.9452599999999995E-6</v>
      </c>
      <c r="M208" s="105">
        <v>8</v>
      </c>
      <c r="N208" s="106">
        <v>9</v>
      </c>
      <c r="O208" s="106">
        <v>6</v>
      </c>
      <c r="P208" s="126">
        <v>0</v>
      </c>
      <c r="Q208" s="106">
        <v>0</v>
      </c>
      <c r="R208" s="127">
        <v>1</v>
      </c>
      <c r="S208" s="126">
        <v>0</v>
      </c>
      <c r="T208" s="106">
        <v>0</v>
      </c>
      <c r="U208" s="127">
        <v>1</v>
      </c>
      <c r="V208" s="106">
        <v>0</v>
      </c>
      <c r="W208" s="106">
        <v>0</v>
      </c>
      <c r="X208" s="109">
        <v>1</v>
      </c>
    </row>
    <row r="209" spans="2:24" x14ac:dyDescent="0.25">
      <c r="B209">
        <v>20080341</v>
      </c>
      <c r="C209" s="103">
        <v>5290.7</v>
      </c>
      <c r="D209" s="108">
        <v>4758.6000000000004</v>
      </c>
      <c r="E209" s="114">
        <v>3.0688000000000002E-5</v>
      </c>
      <c r="F209" s="115">
        <v>4.7043499999999998E-5</v>
      </c>
      <c r="G209" s="132">
        <v>3.25478E-6</v>
      </c>
      <c r="H209" s="133">
        <v>4.6526600000000001E-6</v>
      </c>
      <c r="I209" s="134">
        <v>1.9999999999999999E-7</v>
      </c>
      <c r="J209" s="135">
        <v>1.9999999999999999E-7</v>
      </c>
      <c r="K209" s="117">
        <v>1.9999999999999999E-7</v>
      </c>
      <c r="L209" s="118">
        <v>1.9999999999999999E-7</v>
      </c>
      <c r="M209" s="105">
        <v>0</v>
      </c>
      <c r="N209" s="106">
        <v>12</v>
      </c>
      <c r="O209" s="106">
        <v>10</v>
      </c>
      <c r="P209" s="126">
        <v>0</v>
      </c>
      <c r="Q209" s="106">
        <v>1</v>
      </c>
      <c r="R209" s="127">
        <v>1</v>
      </c>
      <c r="S209" s="126">
        <v>0</v>
      </c>
      <c r="T209" s="106">
        <v>0</v>
      </c>
      <c r="U209" s="127">
        <v>0</v>
      </c>
      <c r="V209" s="106">
        <v>0</v>
      </c>
      <c r="W209" s="106">
        <v>0</v>
      </c>
      <c r="X209" s="109">
        <v>0</v>
      </c>
    </row>
    <row r="210" spans="2:24" x14ac:dyDescent="0.25">
      <c r="B210">
        <v>20080684</v>
      </c>
      <c r="C210" s="103" t="s">
        <v>49</v>
      </c>
      <c r="D210" s="108" t="s">
        <v>49</v>
      </c>
      <c r="E210" s="103" t="s">
        <v>49</v>
      </c>
      <c r="F210" s="104" t="s">
        <v>49</v>
      </c>
      <c r="G210" s="128" t="s">
        <v>49</v>
      </c>
      <c r="H210" s="129" t="s">
        <v>49</v>
      </c>
      <c r="I210" s="128" t="s">
        <v>49</v>
      </c>
      <c r="J210" s="129" t="s">
        <v>49</v>
      </c>
      <c r="K210" s="104" t="s">
        <v>49</v>
      </c>
      <c r="L210" s="108" t="s">
        <v>49</v>
      </c>
      <c r="M210" s="103" t="s">
        <v>49</v>
      </c>
      <c r="N210" s="104" t="s">
        <v>49</v>
      </c>
      <c r="O210" s="104" t="s">
        <v>49</v>
      </c>
      <c r="P210" s="128" t="s">
        <v>49</v>
      </c>
      <c r="Q210" s="104" t="s">
        <v>49</v>
      </c>
      <c r="R210" s="129" t="s">
        <v>49</v>
      </c>
      <c r="S210" s="128" t="s">
        <v>49</v>
      </c>
      <c r="T210" s="104" t="s">
        <v>49</v>
      </c>
      <c r="U210" s="129" t="s">
        <v>49</v>
      </c>
      <c r="V210" s="104" t="s">
        <v>49</v>
      </c>
      <c r="W210" s="104" t="s">
        <v>49</v>
      </c>
      <c r="X210" s="108" t="s">
        <v>49</v>
      </c>
    </row>
    <row r="211" spans="2:24" x14ac:dyDescent="0.25">
      <c r="B211">
        <v>20080698</v>
      </c>
      <c r="C211" s="103">
        <v>10495.4</v>
      </c>
      <c r="D211" s="108">
        <v>6302.7</v>
      </c>
      <c r="E211" s="114">
        <v>5.2738000000000002E-6</v>
      </c>
      <c r="F211" s="115">
        <v>7.6111300000000003E-6</v>
      </c>
      <c r="G211" s="134">
        <v>1.9999999999999999E-7</v>
      </c>
      <c r="H211" s="135">
        <v>1.9999999999999999E-7</v>
      </c>
      <c r="I211" s="134">
        <v>1.9999999999999999E-7</v>
      </c>
      <c r="J211" s="135">
        <v>1.9999999999999999E-7</v>
      </c>
      <c r="K211" s="117">
        <v>1.9999999999999999E-7</v>
      </c>
      <c r="L211" s="118">
        <v>1.9999999999999999E-7</v>
      </c>
      <c r="M211" s="105">
        <v>0</v>
      </c>
      <c r="N211" s="106">
        <v>2</v>
      </c>
      <c r="O211" s="106">
        <v>2</v>
      </c>
      <c r="P211" s="126">
        <v>0</v>
      </c>
      <c r="Q211" s="106">
        <v>0</v>
      </c>
      <c r="R211" s="127">
        <v>0</v>
      </c>
      <c r="S211" s="126">
        <v>0</v>
      </c>
      <c r="T211" s="106">
        <v>0</v>
      </c>
      <c r="U211" s="127">
        <v>0</v>
      </c>
      <c r="V211" s="106">
        <v>0</v>
      </c>
      <c r="W211" s="106">
        <v>0</v>
      </c>
      <c r="X211" s="109">
        <v>0</v>
      </c>
    </row>
    <row r="212" spans="2:24" x14ac:dyDescent="0.25">
      <c r="B212">
        <v>20080719</v>
      </c>
      <c r="C212" s="103">
        <v>6029.7</v>
      </c>
      <c r="D212" s="108">
        <v>5278.1</v>
      </c>
      <c r="E212" s="114">
        <v>8.7717000000000001E-5</v>
      </c>
      <c r="F212" s="115">
        <v>1.0207100000000001E-4</v>
      </c>
      <c r="G212" s="132">
        <v>8.7717000000000001E-5</v>
      </c>
      <c r="H212" s="133">
        <v>9.3448699999999999E-5</v>
      </c>
      <c r="I212" s="132">
        <v>5.7117999999999998E-5</v>
      </c>
      <c r="J212" s="133">
        <v>5.8259800000000001E-5</v>
      </c>
      <c r="K212" s="115">
        <v>3.8350699999999999E-5</v>
      </c>
      <c r="L212" s="116">
        <v>4.1946999999999997E-5</v>
      </c>
      <c r="M212" s="105">
        <v>0</v>
      </c>
      <c r="N212" s="106">
        <v>6</v>
      </c>
      <c r="O212" s="106">
        <v>9</v>
      </c>
      <c r="P212" s="126">
        <v>0</v>
      </c>
      <c r="Q212" s="106">
        <v>1</v>
      </c>
      <c r="R212" s="127">
        <v>9</v>
      </c>
      <c r="S212" s="126">
        <v>0</v>
      </c>
      <c r="T212" s="106">
        <v>0</v>
      </c>
      <c r="U212" s="127">
        <v>4</v>
      </c>
      <c r="V212" s="106">
        <v>0</v>
      </c>
      <c r="W212" s="106">
        <v>0</v>
      </c>
      <c r="X212" s="109">
        <v>2</v>
      </c>
    </row>
    <row r="213" spans="2:24" x14ac:dyDescent="0.25">
      <c r="B213">
        <v>20080832</v>
      </c>
      <c r="C213" s="103" t="s">
        <v>49</v>
      </c>
      <c r="D213" s="108" t="s">
        <v>49</v>
      </c>
      <c r="E213" s="103" t="s">
        <v>49</v>
      </c>
      <c r="F213" s="104" t="s">
        <v>49</v>
      </c>
      <c r="G213" s="128" t="s">
        <v>49</v>
      </c>
      <c r="H213" s="129" t="s">
        <v>49</v>
      </c>
      <c r="I213" s="128" t="s">
        <v>49</v>
      </c>
      <c r="J213" s="129" t="s">
        <v>49</v>
      </c>
      <c r="K213" s="104" t="s">
        <v>49</v>
      </c>
      <c r="L213" s="108" t="s">
        <v>49</v>
      </c>
      <c r="M213" s="103" t="s">
        <v>49</v>
      </c>
      <c r="N213" s="104" t="s">
        <v>49</v>
      </c>
      <c r="O213" s="104" t="s">
        <v>49</v>
      </c>
      <c r="P213" s="128" t="s">
        <v>49</v>
      </c>
      <c r="Q213" s="104" t="s">
        <v>49</v>
      </c>
      <c r="R213" s="129" t="s">
        <v>49</v>
      </c>
      <c r="S213" s="128" t="s">
        <v>49</v>
      </c>
      <c r="T213" s="104" t="s">
        <v>49</v>
      </c>
      <c r="U213" s="129" t="s">
        <v>49</v>
      </c>
      <c r="V213" s="104" t="s">
        <v>49</v>
      </c>
      <c r="W213" s="104" t="s">
        <v>49</v>
      </c>
      <c r="X213" s="108" t="s">
        <v>49</v>
      </c>
    </row>
    <row r="214" spans="2:24" x14ac:dyDescent="0.25">
      <c r="B214">
        <v>20080857</v>
      </c>
      <c r="C214" s="103">
        <v>7659.6</v>
      </c>
      <c r="D214" s="108">
        <v>5942.9</v>
      </c>
      <c r="E214" s="114">
        <v>4.8817499999999998E-5</v>
      </c>
      <c r="F214" s="115">
        <v>6.8300599999999995E-5</v>
      </c>
      <c r="G214" s="132">
        <v>3.9664199999999999E-5</v>
      </c>
      <c r="H214" s="133">
        <v>4.1187399999999998E-5</v>
      </c>
      <c r="I214" s="132">
        <v>3.9664199999999999E-5</v>
      </c>
      <c r="J214" s="133">
        <v>3.3943299999999997E-5</v>
      </c>
      <c r="K214" s="115">
        <v>1.26861E-5</v>
      </c>
      <c r="L214" s="116">
        <v>1.30392E-5</v>
      </c>
      <c r="M214" s="105">
        <v>1</v>
      </c>
      <c r="N214" s="106">
        <v>15</v>
      </c>
      <c r="O214" s="106">
        <v>8</v>
      </c>
      <c r="P214" s="126">
        <v>0</v>
      </c>
      <c r="Q214" s="106">
        <v>1</v>
      </c>
      <c r="R214" s="127">
        <v>5</v>
      </c>
      <c r="S214" s="126">
        <v>1</v>
      </c>
      <c r="T214" s="106">
        <v>0</v>
      </c>
      <c r="U214" s="127">
        <v>4</v>
      </c>
      <c r="V214" s="106">
        <v>1</v>
      </c>
      <c r="W214" s="106">
        <v>0</v>
      </c>
      <c r="X214" s="109">
        <v>1</v>
      </c>
    </row>
    <row r="215" spans="2:24" x14ac:dyDescent="0.25">
      <c r="B215">
        <v>20080860</v>
      </c>
      <c r="C215" s="103">
        <v>5861</v>
      </c>
      <c r="D215" s="108">
        <v>5408.7</v>
      </c>
      <c r="E215" s="114">
        <v>4.1972499999999998E-5</v>
      </c>
      <c r="F215" s="115">
        <v>5.91276E-5</v>
      </c>
      <c r="G215" s="132">
        <v>1.6369299999999999E-5</v>
      </c>
      <c r="H215" s="133">
        <v>1.50093E-5</v>
      </c>
      <c r="I215" s="134">
        <v>1.9999999999999999E-7</v>
      </c>
      <c r="J215" s="135">
        <v>1.9999999999999999E-7</v>
      </c>
      <c r="K215" s="117">
        <v>1.9999999999999999E-7</v>
      </c>
      <c r="L215" s="118">
        <v>1.9999999999999999E-7</v>
      </c>
      <c r="M215" s="105">
        <v>0</v>
      </c>
      <c r="N215" s="106">
        <v>13</v>
      </c>
      <c r="O215" s="106">
        <v>14</v>
      </c>
      <c r="P215" s="126">
        <v>0</v>
      </c>
      <c r="Q215" s="106">
        <v>0</v>
      </c>
      <c r="R215" s="127">
        <v>3</v>
      </c>
      <c r="S215" s="126">
        <v>0</v>
      </c>
      <c r="T215" s="106">
        <v>0</v>
      </c>
      <c r="U215" s="127">
        <v>0</v>
      </c>
      <c r="V215" s="106">
        <v>0</v>
      </c>
      <c r="W215" s="106">
        <v>0</v>
      </c>
      <c r="X215" s="109">
        <v>0</v>
      </c>
    </row>
    <row r="216" spans="2:24" x14ac:dyDescent="0.25">
      <c r="B216">
        <v>20080867</v>
      </c>
      <c r="C216" s="103">
        <v>4816.2</v>
      </c>
      <c r="D216" s="108">
        <v>4340.7</v>
      </c>
      <c r="E216" s="114">
        <v>2.084E-4</v>
      </c>
      <c r="F216" s="115">
        <v>2.5049700000000002E-4</v>
      </c>
      <c r="G216" s="132">
        <v>1.8848000000000001E-4</v>
      </c>
      <c r="H216" s="133">
        <v>2.0742499999999999E-4</v>
      </c>
      <c r="I216" s="132">
        <v>1.48894E-4</v>
      </c>
      <c r="J216" s="133">
        <v>1.6322E-4</v>
      </c>
      <c r="K216" s="115">
        <v>7.8660900000000004E-5</v>
      </c>
      <c r="L216" s="116">
        <v>8.61439E-5</v>
      </c>
      <c r="M216" s="105">
        <v>0</v>
      </c>
      <c r="N216" s="106">
        <v>17</v>
      </c>
      <c r="O216" s="106">
        <v>26</v>
      </c>
      <c r="P216" s="126">
        <v>0</v>
      </c>
      <c r="Q216" s="106">
        <v>3</v>
      </c>
      <c r="R216" s="127">
        <v>18</v>
      </c>
      <c r="S216" s="126">
        <v>0</v>
      </c>
      <c r="T216" s="106">
        <v>1</v>
      </c>
      <c r="U216" s="127">
        <v>12</v>
      </c>
      <c r="V216" s="106">
        <v>0</v>
      </c>
      <c r="W216" s="106">
        <v>0</v>
      </c>
      <c r="X216" s="109">
        <v>6</v>
      </c>
    </row>
    <row r="217" spans="2:24" x14ac:dyDescent="0.25">
      <c r="B217">
        <v>20080869</v>
      </c>
      <c r="C217" s="103">
        <v>14187.4</v>
      </c>
      <c r="D217" s="108">
        <v>6442.4</v>
      </c>
      <c r="E217" s="114">
        <v>3.3751300000000001E-4</v>
      </c>
      <c r="F217" s="115">
        <v>3.5760099999999998E-4</v>
      </c>
      <c r="G217" s="132">
        <v>2.9589800000000001E-4</v>
      </c>
      <c r="H217" s="133">
        <v>3.3449899999999998E-4</v>
      </c>
      <c r="I217" s="132">
        <v>2.6104600000000002E-4</v>
      </c>
      <c r="J217" s="133">
        <v>2.8695899999999999E-4</v>
      </c>
      <c r="K217" s="115">
        <v>2.6104600000000002E-4</v>
      </c>
      <c r="L217" s="116">
        <v>2.7893999999999998E-4</v>
      </c>
      <c r="M217" s="105">
        <v>4</v>
      </c>
      <c r="N217" s="106">
        <v>7</v>
      </c>
      <c r="O217" s="106">
        <v>23</v>
      </c>
      <c r="P217" s="126">
        <v>1</v>
      </c>
      <c r="Q217" s="106">
        <v>5</v>
      </c>
      <c r="R217" s="127">
        <v>12</v>
      </c>
      <c r="S217" s="126">
        <v>0</v>
      </c>
      <c r="T217" s="106">
        <v>1</v>
      </c>
      <c r="U217" s="127">
        <v>7</v>
      </c>
      <c r="V217" s="106">
        <v>0</v>
      </c>
      <c r="W217" s="106">
        <v>0</v>
      </c>
      <c r="X217" s="109">
        <v>7</v>
      </c>
    </row>
    <row r="218" spans="2:24" x14ac:dyDescent="0.25">
      <c r="B218">
        <v>20080933</v>
      </c>
      <c r="C218" s="103">
        <v>6563.6</v>
      </c>
      <c r="D218" s="108">
        <v>5635.6</v>
      </c>
      <c r="E218" s="114">
        <v>6.91498E-5</v>
      </c>
      <c r="F218" s="115">
        <v>6.1766600000000006E-5</v>
      </c>
      <c r="G218" s="132">
        <v>8.6202999999999994E-6</v>
      </c>
      <c r="H218" s="133">
        <v>6.76595E-6</v>
      </c>
      <c r="I218" s="134">
        <v>1.9999999999999999E-7</v>
      </c>
      <c r="J218" s="135">
        <v>1.9999999999999999E-7</v>
      </c>
      <c r="K218" s="117">
        <v>1.9999999999999999E-7</v>
      </c>
      <c r="L218" s="118">
        <v>1.9999999999999999E-7</v>
      </c>
      <c r="M218" s="105">
        <v>0</v>
      </c>
      <c r="N218" s="106">
        <v>3</v>
      </c>
      <c r="O218" s="106">
        <v>19</v>
      </c>
      <c r="P218" s="126">
        <v>1</v>
      </c>
      <c r="Q218" s="106">
        <v>1</v>
      </c>
      <c r="R218" s="127">
        <v>1</v>
      </c>
      <c r="S218" s="126">
        <v>0</v>
      </c>
      <c r="T218" s="106">
        <v>0</v>
      </c>
      <c r="U218" s="127">
        <v>0</v>
      </c>
      <c r="V218" s="106">
        <v>0</v>
      </c>
      <c r="W218" s="106">
        <v>0</v>
      </c>
      <c r="X218" s="109">
        <v>0</v>
      </c>
    </row>
    <row r="219" spans="2:24" x14ac:dyDescent="0.25">
      <c r="B219">
        <v>20080980</v>
      </c>
      <c r="C219" s="103">
        <v>7348.9</v>
      </c>
      <c r="D219" s="108">
        <v>5777.8</v>
      </c>
      <c r="E219" s="114">
        <v>6.3100200000000003E-5</v>
      </c>
      <c r="F219" s="115">
        <v>6.6208E-5</v>
      </c>
      <c r="G219" s="132">
        <v>1.3724699999999999E-5</v>
      </c>
      <c r="H219" s="133">
        <v>2.3204700000000002E-5</v>
      </c>
      <c r="I219" s="134">
        <v>1.9999999999999999E-7</v>
      </c>
      <c r="J219" s="136">
        <v>6.3866200000000003E-7</v>
      </c>
      <c r="K219" s="117">
        <v>1.9999999999999999E-7</v>
      </c>
      <c r="L219" s="118">
        <v>1.9999999999999999E-7</v>
      </c>
      <c r="M219" s="105">
        <v>0</v>
      </c>
      <c r="N219" s="106">
        <v>3</v>
      </c>
      <c r="O219" s="106">
        <v>21</v>
      </c>
      <c r="P219" s="126">
        <v>0</v>
      </c>
      <c r="Q219" s="106">
        <v>3</v>
      </c>
      <c r="R219" s="127">
        <v>4</v>
      </c>
      <c r="S219" s="126">
        <v>0</v>
      </c>
      <c r="T219" s="106">
        <v>1</v>
      </c>
      <c r="U219" s="127">
        <v>0</v>
      </c>
      <c r="V219" s="106">
        <v>0</v>
      </c>
      <c r="W219" s="106">
        <v>0</v>
      </c>
      <c r="X219" s="109">
        <v>0</v>
      </c>
    </row>
    <row r="220" spans="2:24" x14ac:dyDescent="0.25">
      <c r="B220">
        <v>20081042</v>
      </c>
      <c r="C220" s="103">
        <v>8453.4</v>
      </c>
      <c r="D220" s="108">
        <v>5982.6</v>
      </c>
      <c r="E220" s="114">
        <v>9.3123599999999997E-6</v>
      </c>
      <c r="F220" s="115">
        <v>1.2747E-5</v>
      </c>
      <c r="G220" s="132">
        <v>6.6932599999999997E-6</v>
      </c>
      <c r="H220" s="133">
        <v>9.2518699999999999E-6</v>
      </c>
      <c r="I220" s="132">
        <v>6.6932599999999997E-6</v>
      </c>
      <c r="J220" s="133">
        <v>9.2518699999999999E-6</v>
      </c>
      <c r="K220" s="117">
        <v>1.9999999999999999E-7</v>
      </c>
      <c r="L220" s="118">
        <v>1.9999999999999999E-7</v>
      </c>
      <c r="M220" s="105">
        <v>0</v>
      </c>
      <c r="N220" s="106">
        <v>1</v>
      </c>
      <c r="O220" s="106">
        <v>2</v>
      </c>
      <c r="P220" s="126">
        <v>0</v>
      </c>
      <c r="Q220" s="106">
        <v>0</v>
      </c>
      <c r="R220" s="127">
        <v>1</v>
      </c>
      <c r="S220" s="126">
        <v>0</v>
      </c>
      <c r="T220" s="106">
        <v>0</v>
      </c>
      <c r="U220" s="127">
        <v>1</v>
      </c>
      <c r="V220" s="106">
        <v>0</v>
      </c>
      <c r="W220" s="106">
        <v>0</v>
      </c>
      <c r="X220" s="109">
        <v>0</v>
      </c>
    </row>
    <row r="221" spans="2:24" x14ac:dyDescent="0.25">
      <c r="B221">
        <v>20081054</v>
      </c>
      <c r="C221" s="103">
        <v>13381.8</v>
      </c>
      <c r="D221" s="108">
        <v>6558.2</v>
      </c>
      <c r="E221" s="114">
        <v>2.7299200000000001E-5</v>
      </c>
      <c r="F221" s="115">
        <v>3.0196200000000001E-5</v>
      </c>
      <c r="G221" s="132">
        <v>6.3422400000000003E-6</v>
      </c>
      <c r="H221" s="133">
        <v>5.2515200000000002E-6</v>
      </c>
      <c r="I221" s="134">
        <v>1.9999999999999999E-7</v>
      </c>
      <c r="J221" s="135">
        <v>1.9999999999999999E-7</v>
      </c>
      <c r="K221" s="117">
        <v>1.9999999999999999E-7</v>
      </c>
      <c r="L221" s="118">
        <v>1.9999999999999999E-7</v>
      </c>
      <c r="M221" s="105">
        <v>4</v>
      </c>
      <c r="N221" s="106">
        <v>7</v>
      </c>
      <c r="O221" s="106">
        <v>11</v>
      </c>
      <c r="P221" s="126">
        <v>0</v>
      </c>
      <c r="Q221" s="106">
        <v>0</v>
      </c>
      <c r="R221" s="127">
        <v>1</v>
      </c>
      <c r="S221" s="126">
        <v>0</v>
      </c>
      <c r="T221" s="106">
        <v>0</v>
      </c>
      <c r="U221" s="127">
        <v>0</v>
      </c>
      <c r="V221" s="106">
        <v>0</v>
      </c>
      <c r="W221" s="106">
        <v>0</v>
      </c>
      <c r="X221" s="109">
        <v>0</v>
      </c>
    </row>
    <row r="222" spans="2:24" x14ac:dyDescent="0.25">
      <c r="B222">
        <v>20081084</v>
      </c>
      <c r="C222" s="103">
        <v>420.7</v>
      </c>
      <c r="D222" s="108">
        <v>417.2</v>
      </c>
      <c r="E222" s="123">
        <v>1.9999999999999999E-7</v>
      </c>
      <c r="F222" s="115">
        <v>5.8970600000000001E-5</v>
      </c>
      <c r="G222" s="134">
        <v>1.9999999999999999E-7</v>
      </c>
      <c r="H222" s="133">
        <v>5.8970600000000001E-5</v>
      </c>
      <c r="I222" s="134">
        <v>1.9999999999999999E-7</v>
      </c>
      <c r="J222" s="133">
        <v>4.1279400000000003E-5</v>
      </c>
      <c r="K222" s="117">
        <v>1.9999999999999999E-7</v>
      </c>
      <c r="L222" s="116">
        <v>4.1279400000000003E-5</v>
      </c>
      <c r="M222" s="105">
        <v>0</v>
      </c>
      <c r="N222" s="106">
        <v>4</v>
      </c>
      <c r="O222" s="106">
        <v>0</v>
      </c>
      <c r="P222" s="126">
        <v>0</v>
      </c>
      <c r="Q222" s="106">
        <v>4</v>
      </c>
      <c r="R222" s="127">
        <v>0</v>
      </c>
      <c r="S222" s="126">
        <v>0</v>
      </c>
      <c r="T222" s="106">
        <v>2</v>
      </c>
      <c r="U222" s="127">
        <v>0</v>
      </c>
      <c r="V222" s="106">
        <v>0</v>
      </c>
      <c r="W222" s="106">
        <v>2</v>
      </c>
      <c r="X222" s="109">
        <v>0</v>
      </c>
    </row>
    <row r="223" spans="2:24" x14ac:dyDescent="0.25">
      <c r="B223">
        <v>20081149</v>
      </c>
      <c r="C223" s="103">
        <v>50485.3</v>
      </c>
      <c r="D223" s="108">
        <v>7623.7</v>
      </c>
      <c r="E223" s="114">
        <v>4.78017E-5</v>
      </c>
      <c r="F223" s="115">
        <v>4.2271400000000003E-5</v>
      </c>
      <c r="G223" s="134">
        <v>1.9999999999999999E-7</v>
      </c>
      <c r="H223" s="133">
        <v>6.4536499999999996E-6</v>
      </c>
      <c r="I223" s="134">
        <v>1.9999999999999999E-7</v>
      </c>
      <c r="J223" s="133">
        <v>6.4536499999999996E-6</v>
      </c>
      <c r="K223" s="117">
        <v>1.9999999999999999E-7</v>
      </c>
      <c r="L223" s="118">
        <v>1.9999999999999999E-7</v>
      </c>
      <c r="M223" s="105">
        <v>20</v>
      </c>
      <c r="N223" s="106">
        <v>12</v>
      </c>
      <c r="O223" s="106">
        <v>13</v>
      </c>
      <c r="P223" s="126">
        <v>0</v>
      </c>
      <c r="Q223" s="106">
        <v>1</v>
      </c>
      <c r="R223" s="127">
        <v>0</v>
      </c>
      <c r="S223" s="126">
        <v>0</v>
      </c>
      <c r="T223" s="106">
        <v>1</v>
      </c>
      <c r="U223" s="127">
        <v>0</v>
      </c>
      <c r="V223" s="106">
        <v>0</v>
      </c>
      <c r="W223" s="106">
        <v>0</v>
      </c>
      <c r="X223" s="109">
        <v>0</v>
      </c>
    </row>
    <row r="224" spans="2:24" x14ac:dyDescent="0.25">
      <c r="B224">
        <v>20081154</v>
      </c>
      <c r="C224" s="103">
        <v>27219.9</v>
      </c>
      <c r="D224" s="108">
        <v>6929.3</v>
      </c>
      <c r="E224" s="114">
        <v>6.7058999999999996E-5</v>
      </c>
      <c r="F224" s="115">
        <v>6.6210800000000006E-5</v>
      </c>
      <c r="G224" s="132">
        <v>1.81204E-5</v>
      </c>
      <c r="H224" s="133">
        <v>2.5383799999999999E-5</v>
      </c>
      <c r="I224" s="132">
        <v>1.81204E-5</v>
      </c>
      <c r="J224" s="133">
        <v>2.04135E-5</v>
      </c>
      <c r="K224" s="115">
        <v>1.81204E-5</v>
      </c>
      <c r="L224" s="116">
        <v>1.9348499999999999E-5</v>
      </c>
      <c r="M224" s="105">
        <v>16</v>
      </c>
      <c r="N224" s="106">
        <v>8</v>
      </c>
      <c r="O224" s="106">
        <v>25</v>
      </c>
      <c r="P224" s="126">
        <v>0</v>
      </c>
      <c r="Q224" s="106">
        <v>4</v>
      </c>
      <c r="R224" s="127">
        <v>2</v>
      </c>
      <c r="S224" s="126">
        <v>0</v>
      </c>
      <c r="T224" s="106">
        <v>1</v>
      </c>
      <c r="U224" s="127">
        <v>2</v>
      </c>
      <c r="V224" s="106">
        <v>0</v>
      </c>
      <c r="W224" s="106">
        <v>0</v>
      </c>
      <c r="X224" s="109">
        <v>2</v>
      </c>
    </row>
    <row r="225" spans="1:24" x14ac:dyDescent="0.25">
      <c r="B225">
        <v>20081164</v>
      </c>
      <c r="C225" s="103" t="s">
        <v>49</v>
      </c>
      <c r="D225" s="108" t="s">
        <v>49</v>
      </c>
      <c r="E225" s="103" t="s">
        <v>49</v>
      </c>
      <c r="F225" s="104" t="s">
        <v>49</v>
      </c>
      <c r="G225" s="128" t="s">
        <v>49</v>
      </c>
      <c r="H225" s="129" t="s">
        <v>49</v>
      </c>
      <c r="I225" s="128" t="s">
        <v>49</v>
      </c>
      <c r="J225" s="129" t="s">
        <v>49</v>
      </c>
      <c r="K225" s="104" t="s">
        <v>49</v>
      </c>
      <c r="L225" s="108" t="s">
        <v>49</v>
      </c>
      <c r="M225" s="103" t="s">
        <v>49</v>
      </c>
      <c r="N225" s="104" t="s">
        <v>49</v>
      </c>
      <c r="O225" s="104" t="s">
        <v>49</v>
      </c>
      <c r="P225" s="128" t="s">
        <v>49</v>
      </c>
      <c r="Q225" s="104" t="s">
        <v>49</v>
      </c>
      <c r="R225" s="129" t="s">
        <v>49</v>
      </c>
      <c r="S225" s="128" t="s">
        <v>49</v>
      </c>
      <c r="T225" s="104" t="s">
        <v>49</v>
      </c>
      <c r="U225" s="129" t="s">
        <v>49</v>
      </c>
      <c r="V225" s="104" t="s">
        <v>49</v>
      </c>
      <c r="W225" s="104" t="s">
        <v>49</v>
      </c>
      <c r="X225" s="108" t="s">
        <v>49</v>
      </c>
    </row>
    <row r="226" spans="1:24" x14ac:dyDescent="0.25">
      <c r="B226">
        <v>20081170</v>
      </c>
      <c r="C226" s="103">
        <v>53562.9</v>
      </c>
      <c r="D226" s="108">
        <v>7640.6</v>
      </c>
      <c r="E226" s="114">
        <v>2.2823799999999999E-4</v>
      </c>
      <c r="F226" s="115">
        <v>2.1121099999999999E-4</v>
      </c>
      <c r="G226" s="132">
        <v>1.7312499999999999E-4</v>
      </c>
      <c r="H226" s="133">
        <v>1.71287E-4</v>
      </c>
      <c r="I226" s="132">
        <v>1.328E-4</v>
      </c>
      <c r="J226" s="133">
        <v>1.4343599999999999E-4</v>
      </c>
      <c r="K226" s="115">
        <v>8.3887099999999999E-5</v>
      </c>
      <c r="L226" s="116">
        <v>8.2101599999999993E-5</v>
      </c>
      <c r="M226" s="105">
        <v>21</v>
      </c>
      <c r="N226" s="106">
        <v>2</v>
      </c>
      <c r="O226" s="106">
        <v>36</v>
      </c>
      <c r="P226" s="126">
        <v>0</v>
      </c>
      <c r="Q226" s="106">
        <v>1</v>
      </c>
      <c r="R226" s="127">
        <v>14</v>
      </c>
      <c r="S226" s="126">
        <v>0</v>
      </c>
      <c r="T226" s="106">
        <v>1</v>
      </c>
      <c r="U226" s="127">
        <v>8</v>
      </c>
      <c r="V226" s="106">
        <v>0</v>
      </c>
      <c r="W226" s="106">
        <v>0</v>
      </c>
      <c r="X226" s="109">
        <v>2</v>
      </c>
    </row>
    <row r="227" spans="1:24" x14ac:dyDescent="0.25">
      <c r="B227">
        <v>20081207</v>
      </c>
      <c r="C227" s="103" t="s">
        <v>49</v>
      </c>
      <c r="D227" s="108" t="s">
        <v>49</v>
      </c>
      <c r="E227" s="103" t="s">
        <v>49</v>
      </c>
      <c r="F227" s="104" t="s">
        <v>49</v>
      </c>
      <c r="G227" s="128" t="s">
        <v>49</v>
      </c>
      <c r="H227" s="129" t="s">
        <v>49</v>
      </c>
      <c r="I227" s="128" t="s">
        <v>49</v>
      </c>
      <c r="J227" s="129" t="s">
        <v>49</v>
      </c>
      <c r="K227" s="104" t="s">
        <v>49</v>
      </c>
      <c r="L227" s="108" t="s">
        <v>49</v>
      </c>
      <c r="M227" s="103" t="s">
        <v>49</v>
      </c>
      <c r="N227" s="104" t="s">
        <v>49</v>
      </c>
      <c r="O227" s="104" t="s">
        <v>49</v>
      </c>
      <c r="P227" s="128" t="s">
        <v>49</v>
      </c>
      <c r="Q227" s="104" t="s">
        <v>49</v>
      </c>
      <c r="R227" s="129" t="s">
        <v>49</v>
      </c>
      <c r="S227" s="128" t="s">
        <v>49</v>
      </c>
      <c r="T227" s="104" t="s">
        <v>49</v>
      </c>
      <c r="U227" s="129" t="s">
        <v>49</v>
      </c>
      <c r="V227" s="104" t="s">
        <v>49</v>
      </c>
      <c r="W227" s="104" t="s">
        <v>49</v>
      </c>
      <c r="X227" s="108" t="s">
        <v>49</v>
      </c>
    </row>
    <row r="228" spans="1:24" x14ac:dyDescent="0.25">
      <c r="B228">
        <v>20081212</v>
      </c>
      <c r="C228" s="103">
        <v>698.3</v>
      </c>
      <c r="D228" s="108">
        <v>695.2</v>
      </c>
      <c r="E228" s="114">
        <v>3.1178100000000002E-4</v>
      </c>
      <c r="F228" s="115">
        <v>3.6801800000000001E-4</v>
      </c>
      <c r="G228" s="132">
        <v>3.1178100000000002E-4</v>
      </c>
      <c r="H228" s="133">
        <v>3.55633E-4</v>
      </c>
      <c r="I228" s="132">
        <v>3.1178100000000002E-4</v>
      </c>
      <c r="J228" s="133">
        <v>3.4855599999999997E-4</v>
      </c>
      <c r="K228" s="115">
        <v>1.9376199999999999E-4</v>
      </c>
      <c r="L228" s="116">
        <v>1.94625E-4</v>
      </c>
      <c r="M228" s="105">
        <v>0</v>
      </c>
      <c r="N228" s="106">
        <v>11</v>
      </c>
      <c r="O228" s="106">
        <v>17</v>
      </c>
      <c r="P228" s="126">
        <v>0</v>
      </c>
      <c r="Q228" s="106">
        <v>9</v>
      </c>
      <c r="R228" s="127">
        <v>17</v>
      </c>
      <c r="S228" s="126">
        <v>0</v>
      </c>
      <c r="T228" s="106">
        <v>8</v>
      </c>
      <c r="U228" s="127">
        <v>17</v>
      </c>
      <c r="V228" s="106">
        <v>1</v>
      </c>
      <c r="W228" s="106">
        <v>2</v>
      </c>
      <c r="X228" s="109">
        <v>10</v>
      </c>
    </row>
    <row r="229" spans="1:24" x14ac:dyDescent="0.25">
      <c r="B229">
        <v>20090224</v>
      </c>
      <c r="C229" s="103">
        <v>25743.4</v>
      </c>
      <c r="D229" s="108">
        <v>6895.4</v>
      </c>
      <c r="E229" s="114">
        <v>8.9443699999999999E-5</v>
      </c>
      <c r="F229" s="115">
        <v>1.11667E-4</v>
      </c>
      <c r="G229" s="132">
        <v>7.0666299999999998E-5</v>
      </c>
      <c r="H229" s="133">
        <v>9.0618000000000006E-5</v>
      </c>
      <c r="I229" s="132">
        <v>7.0666299999999998E-5</v>
      </c>
      <c r="J229" s="133">
        <v>7.7417700000000002E-5</v>
      </c>
      <c r="K229" s="115">
        <v>2.3651000000000001E-5</v>
      </c>
      <c r="L229" s="116">
        <v>4.4595499999999997E-5</v>
      </c>
      <c r="M229" s="105">
        <v>2</v>
      </c>
      <c r="N229" s="106">
        <v>3</v>
      </c>
      <c r="O229" s="106">
        <v>16</v>
      </c>
      <c r="P229" s="126">
        <v>0</v>
      </c>
      <c r="Q229" s="106">
        <v>1</v>
      </c>
      <c r="R229" s="127">
        <v>8</v>
      </c>
      <c r="S229" s="126">
        <v>2</v>
      </c>
      <c r="T229" s="106">
        <v>0</v>
      </c>
      <c r="U229" s="127">
        <v>6</v>
      </c>
      <c r="V229" s="106">
        <v>0</v>
      </c>
      <c r="W229" s="106">
        <v>0</v>
      </c>
      <c r="X229" s="109">
        <v>1</v>
      </c>
    </row>
    <row r="230" spans="1:24" x14ac:dyDescent="0.25">
      <c r="B230">
        <v>20090639</v>
      </c>
      <c r="C230" s="103">
        <v>3979.3</v>
      </c>
      <c r="D230" s="108">
        <v>3944.7</v>
      </c>
      <c r="E230" s="123">
        <v>1.9999999999999999E-7</v>
      </c>
      <c r="F230" s="117">
        <v>1.9999999999999999E-7</v>
      </c>
      <c r="G230" s="134">
        <v>1.9999999999999999E-7</v>
      </c>
      <c r="H230" s="135">
        <v>1.9999999999999999E-7</v>
      </c>
      <c r="I230" s="134">
        <v>1.9999999999999999E-7</v>
      </c>
      <c r="J230" s="135">
        <v>1.9999999999999999E-7</v>
      </c>
      <c r="K230" s="117">
        <v>1.9999999999999999E-7</v>
      </c>
      <c r="L230" s="118">
        <v>1.9999999999999999E-7</v>
      </c>
      <c r="M230" s="105">
        <v>0</v>
      </c>
      <c r="N230" s="106">
        <v>0</v>
      </c>
      <c r="O230" s="106">
        <v>0</v>
      </c>
      <c r="P230" s="126">
        <v>0</v>
      </c>
      <c r="Q230" s="106">
        <v>0</v>
      </c>
      <c r="R230" s="127">
        <v>0</v>
      </c>
      <c r="S230" s="126">
        <v>0</v>
      </c>
      <c r="T230" s="106">
        <v>0</v>
      </c>
      <c r="U230" s="127">
        <v>0</v>
      </c>
      <c r="V230" s="106">
        <v>0</v>
      </c>
      <c r="W230" s="106">
        <v>0</v>
      </c>
      <c r="X230" s="109">
        <v>0</v>
      </c>
    </row>
    <row r="231" spans="1:24" x14ac:dyDescent="0.25">
      <c r="B231">
        <v>20090816</v>
      </c>
      <c r="C231" s="103">
        <v>27682.6</v>
      </c>
      <c r="D231" s="108">
        <v>6932.3</v>
      </c>
      <c r="E231" s="114">
        <v>9.0464900000000002E-5</v>
      </c>
      <c r="F231" s="115">
        <v>1.3183199999999999E-4</v>
      </c>
      <c r="G231" s="132">
        <v>6.2961100000000003E-5</v>
      </c>
      <c r="H231" s="133">
        <v>9.4571400000000001E-5</v>
      </c>
      <c r="I231" s="132">
        <v>6.2961100000000003E-5</v>
      </c>
      <c r="J231" s="133">
        <v>9.4571400000000001E-5</v>
      </c>
      <c r="K231" s="115">
        <v>6.2961100000000003E-5</v>
      </c>
      <c r="L231" s="116">
        <v>9.4571400000000001E-5</v>
      </c>
      <c r="M231" s="105">
        <v>7</v>
      </c>
      <c r="N231" s="106">
        <v>10</v>
      </c>
      <c r="O231" s="106">
        <v>20</v>
      </c>
      <c r="P231" s="126">
        <v>0</v>
      </c>
      <c r="Q231" s="106">
        <v>0</v>
      </c>
      <c r="R231" s="127">
        <v>7</v>
      </c>
      <c r="S231" s="126">
        <v>0</v>
      </c>
      <c r="T231" s="106">
        <v>0</v>
      </c>
      <c r="U231" s="127">
        <v>7</v>
      </c>
      <c r="V231" s="106">
        <v>0</v>
      </c>
      <c r="W231" s="106">
        <v>0</v>
      </c>
      <c r="X231" s="109">
        <v>7</v>
      </c>
    </row>
    <row r="232" spans="1:24" x14ac:dyDescent="0.25">
      <c r="B232">
        <v>20091349</v>
      </c>
      <c r="C232" s="103">
        <v>19669.400000000001</v>
      </c>
      <c r="D232" s="108">
        <v>6844.2</v>
      </c>
      <c r="E232" s="114">
        <v>4.6963199999999998E-5</v>
      </c>
      <c r="F232" s="115">
        <v>6.2002100000000001E-5</v>
      </c>
      <c r="G232" s="132">
        <v>3.1329599999999999E-5</v>
      </c>
      <c r="H232" s="133">
        <v>4.3671000000000003E-5</v>
      </c>
      <c r="I232" s="132">
        <v>2.55139E-5</v>
      </c>
      <c r="J232" s="133">
        <v>3.6841799999999997E-5</v>
      </c>
      <c r="K232" s="115">
        <v>2.55139E-5</v>
      </c>
      <c r="L232" s="116">
        <v>3.4685199999999998E-5</v>
      </c>
      <c r="M232" s="105">
        <v>4</v>
      </c>
      <c r="N232" s="106">
        <v>9</v>
      </c>
      <c r="O232" s="106">
        <v>7</v>
      </c>
      <c r="P232" s="126">
        <v>0</v>
      </c>
      <c r="Q232" s="106">
        <v>3</v>
      </c>
      <c r="R232" s="127">
        <v>2</v>
      </c>
      <c r="S232" s="126">
        <v>0</v>
      </c>
      <c r="T232" s="106">
        <v>3</v>
      </c>
      <c r="U232" s="127">
        <v>1</v>
      </c>
      <c r="V232" s="106">
        <v>0</v>
      </c>
      <c r="W232" s="106">
        <v>0</v>
      </c>
      <c r="X232" s="109">
        <v>1</v>
      </c>
    </row>
    <row r="233" spans="1:24" x14ac:dyDescent="0.25">
      <c r="B233">
        <v>20091939</v>
      </c>
      <c r="C233" s="103">
        <v>31447.8</v>
      </c>
      <c r="D233" s="108">
        <v>6923.3</v>
      </c>
      <c r="E233" s="114">
        <v>1.5840699999999999E-5</v>
      </c>
      <c r="F233" s="115">
        <v>1.75887E-5</v>
      </c>
      <c r="G233" s="134">
        <v>1.9999999999999999E-7</v>
      </c>
      <c r="H233" s="133">
        <v>1.77663E-6</v>
      </c>
      <c r="I233" s="134">
        <v>1.9999999999999999E-7</v>
      </c>
      <c r="J233" s="133">
        <v>1.77663E-6</v>
      </c>
      <c r="K233" s="117">
        <v>1.9999999999999999E-7</v>
      </c>
      <c r="L233" s="118">
        <v>1.9999999999999999E-7</v>
      </c>
      <c r="M233" s="105">
        <v>10</v>
      </c>
      <c r="N233" s="106">
        <v>4</v>
      </c>
      <c r="O233" s="106">
        <v>6</v>
      </c>
      <c r="P233" s="126">
        <v>0</v>
      </c>
      <c r="Q233" s="106">
        <v>1</v>
      </c>
      <c r="R233" s="127">
        <v>0</v>
      </c>
      <c r="S233" s="126">
        <v>0</v>
      </c>
      <c r="T233" s="106">
        <v>1</v>
      </c>
      <c r="U233" s="127">
        <v>0</v>
      </c>
      <c r="V233" s="106">
        <v>0</v>
      </c>
      <c r="W233" s="106">
        <v>0</v>
      </c>
      <c r="X233" s="109">
        <v>0</v>
      </c>
    </row>
    <row r="234" spans="1:24" x14ac:dyDescent="0.25">
      <c r="A234" s="110"/>
      <c r="B234" s="110">
        <v>20091940</v>
      </c>
      <c r="C234" s="111" t="s">
        <v>49</v>
      </c>
      <c r="D234" s="112" t="s">
        <v>49</v>
      </c>
      <c r="E234" s="111" t="s">
        <v>49</v>
      </c>
      <c r="F234" s="113" t="s">
        <v>49</v>
      </c>
      <c r="G234" s="130" t="s">
        <v>49</v>
      </c>
      <c r="H234" s="131" t="s">
        <v>49</v>
      </c>
      <c r="I234" s="130" t="s">
        <v>49</v>
      </c>
      <c r="J234" s="131" t="s">
        <v>49</v>
      </c>
      <c r="K234" s="113" t="s">
        <v>49</v>
      </c>
      <c r="L234" s="112" t="s">
        <v>49</v>
      </c>
      <c r="M234" s="111" t="s">
        <v>49</v>
      </c>
      <c r="N234" s="113" t="s">
        <v>49</v>
      </c>
      <c r="O234" s="113" t="s">
        <v>49</v>
      </c>
      <c r="P234" s="130" t="s">
        <v>49</v>
      </c>
      <c r="Q234" s="113" t="s">
        <v>49</v>
      </c>
      <c r="R234" s="131" t="s">
        <v>49</v>
      </c>
      <c r="S234" s="130" t="s">
        <v>49</v>
      </c>
      <c r="T234" s="113" t="s">
        <v>49</v>
      </c>
      <c r="U234" s="131" t="s">
        <v>49</v>
      </c>
      <c r="V234" s="113" t="s">
        <v>49</v>
      </c>
      <c r="W234" s="113" t="s">
        <v>49</v>
      </c>
      <c r="X234" s="112" t="s">
        <v>49</v>
      </c>
    </row>
  </sheetData>
  <sheetProtection algorithmName="SHA-512" hashValue="nE+uuOAF+pqy1YX/ycnblp2tR+Wpvvq9ekVz6jip7FYgCzQvdV2etOUXy7I8uv1UPv1f0Oi9WvOAuXeof6A79g==" saltValue="yI06C0f9FIFCSCkstlLKjg==" spinCount="100000" sheet="1" objects="1" scenarios="1" formatCells="0" formatColumns="0" formatRows="0"/>
  <mergeCells count="12">
    <mergeCell ref="S10:U10"/>
    <mergeCell ref="V10:X10"/>
    <mergeCell ref="C9:D9"/>
    <mergeCell ref="E9:L9"/>
    <mergeCell ref="M9:X9"/>
    <mergeCell ref="C10:D10"/>
    <mergeCell ref="E10:F10"/>
    <mergeCell ref="G10:H10"/>
    <mergeCell ref="I10:J10"/>
    <mergeCell ref="K10:L10"/>
    <mergeCell ref="M10:O10"/>
    <mergeCell ref="P10:R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45"/>
  <sheetViews>
    <sheetView zoomScaleNormal="100" workbookViewId="0"/>
  </sheetViews>
  <sheetFormatPr defaultRowHeight="15.75" x14ac:dyDescent="0.25"/>
  <cols>
    <col min="1" max="1" width="10.5" customWidth="1"/>
    <col min="2" max="2" width="6.875" customWidth="1"/>
    <col min="3" max="3" width="7" customWidth="1"/>
    <col min="5" max="5" width="11.75" customWidth="1"/>
    <col min="6" max="6" width="15" customWidth="1"/>
    <col min="7" max="7" width="7" customWidth="1"/>
  </cols>
  <sheetData>
    <row r="1" spans="1:9" ht="21" x14ac:dyDescent="0.35">
      <c r="A1" s="9" t="s">
        <v>1127</v>
      </c>
    </row>
    <row r="3" spans="1:9" x14ac:dyDescent="0.25">
      <c r="A3" t="s">
        <v>1118</v>
      </c>
    </row>
    <row r="4" spans="1:9" x14ac:dyDescent="0.25">
      <c r="A4" t="s">
        <v>1119</v>
      </c>
    </row>
    <row r="5" spans="1:9" x14ac:dyDescent="0.25">
      <c r="A5" t="s">
        <v>1128</v>
      </c>
    </row>
    <row r="6" spans="1:9" x14ac:dyDescent="0.25">
      <c r="A6" t="s">
        <v>1129</v>
      </c>
    </row>
    <row r="9" spans="1:9" x14ac:dyDescent="0.25">
      <c r="A9" s="161" t="s">
        <v>1066</v>
      </c>
      <c r="B9" s="173" t="s">
        <v>42</v>
      </c>
      <c r="C9" s="173"/>
      <c r="D9" s="173"/>
      <c r="E9" s="161" t="s">
        <v>43</v>
      </c>
      <c r="F9" s="163" t="s">
        <v>1121</v>
      </c>
      <c r="G9" s="161" t="s">
        <v>44</v>
      </c>
      <c r="H9" s="161" t="s">
        <v>1126</v>
      </c>
      <c r="I9" s="161" t="s">
        <v>1123</v>
      </c>
    </row>
    <row r="10" spans="1:9" x14ac:dyDescent="0.25">
      <c r="A10" s="162"/>
      <c r="B10" s="80" t="s">
        <v>45</v>
      </c>
      <c r="C10" s="80" t="s">
        <v>46</v>
      </c>
      <c r="D10" s="80" t="s">
        <v>47</v>
      </c>
      <c r="E10" s="162"/>
      <c r="F10" s="164"/>
      <c r="G10" s="162"/>
      <c r="H10" s="162"/>
      <c r="I10" s="162"/>
    </row>
    <row r="11" spans="1:9" x14ac:dyDescent="0.25">
      <c r="A11" s="82" t="s">
        <v>48</v>
      </c>
      <c r="B11" s="82">
        <v>2007</v>
      </c>
      <c r="C11" s="82">
        <v>45</v>
      </c>
      <c r="D11" s="86">
        <v>65327</v>
      </c>
      <c r="E11" s="82">
        <v>20080358</v>
      </c>
      <c r="F11" s="86" t="s">
        <v>49</v>
      </c>
      <c r="G11" s="82">
        <v>48</v>
      </c>
      <c r="H11" s="82" t="s">
        <v>49</v>
      </c>
      <c r="I11" s="82" t="s">
        <v>53</v>
      </c>
    </row>
    <row r="12" spans="1:9" x14ac:dyDescent="0.25">
      <c r="A12" s="2" t="s">
        <v>52</v>
      </c>
      <c r="B12" s="2">
        <v>2008</v>
      </c>
      <c r="C12" s="2">
        <v>42</v>
      </c>
      <c r="D12" s="84">
        <v>39742</v>
      </c>
      <c r="E12" s="2">
        <v>20090123</v>
      </c>
      <c r="F12" s="84">
        <v>39740</v>
      </c>
      <c r="G12" s="2">
        <v>22</v>
      </c>
      <c r="H12" s="2">
        <v>24.7</v>
      </c>
      <c r="I12" s="2" t="s">
        <v>54</v>
      </c>
    </row>
    <row r="13" spans="1:9" x14ac:dyDescent="0.25">
      <c r="A13" s="2"/>
      <c r="B13" s="2">
        <v>2008</v>
      </c>
      <c r="C13" s="2">
        <v>50</v>
      </c>
      <c r="D13" s="84">
        <v>39791</v>
      </c>
      <c r="E13" s="2">
        <v>20090711</v>
      </c>
      <c r="F13" s="84">
        <v>39788</v>
      </c>
      <c r="G13" s="2">
        <v>17</v>
      </c>
      <c r="H13" s="2">
        <v>31.46</v>
      </c>
      <c r="I13" s="2" t="s">
        <v>53</v>
      </c>
    </row>
    <row r="14" spans="1:9" x14ac:dyDescent="0.25">
      <c r="A14" s="2"/>
      <c r="B14" s="2">
        <v>2008</v>
      </c>
      <c r="C14" s="2">
        <v>1</v>
      </c>
      <c r="D14" s="84">
        <v>39811</v>
      </c>
      <c r="E14" s="2">
        <v>20091973</v>
      </c>
      <c r="F14" s="84">
        <v>39808</v>
      </c>
      <c r="G14" s="2">
        <v>2</v>
      </c>
      <c r="H14" s="2">
        <v>24.81</v>
      </c>
      <c r="I14" s="2" t="s">
        <v>53</v>
      </c>
    </row>
    <row r="15" spans="1:9" x14ac:dyDescent="0.25">
      <c r="A15" s="2"/>
      <c r="B15" s="2">
        <v>2008</v>
      </c>
      <c r="C15" s="2">
        <v>1</v>
      </c>
      <c r="D15" s="84">
        <v>39811</v>
      </c>
      <c r="E15" s="2">
        <v>20091980</v>
      </c>
      <c r="F15" s="84">
        <v>39808</v>
      </c>
      <c r="G15" s="2">
        <v>0.9</v>
      </c>
      <c r="H15" s="2">
        <v>23.46</v>
      </c>
      <c r="I15" s="2" t="s">
        <v>53</v>
      </c>
    </row>
    <row r="16" spans="1:9" x14ac:dyDescent="0.25">
      <c r="A16" s="2"/>
      <c r="B16" s="2">
        <v>2008</v>
      </c>
      <c r="C16" s="2">
        <v>1</v>
      </c>
      <c r="D16" s="84">
        <v>39812</v>
      </c>
      <c r="E16" s="2">
        <v>20090892</v>
      </c>
      <c r="F16" s="84">
        <v>39811</v>
      </c>
      <c r="G16" s="2">
        <v>56</v>
      </c>
      <c r="H16" s="2">
        <v>28.4</v>
      </c>
      <c r="I16" s="2" t="s">
        <v>54</v>
      </c>
    </row>
    <row r="17" spans="1:9" x14ac:dyDescent="0.25">
      <c r="A17" s="2"/>
      <c r="B17" s="2">
        <v>2008</v>
      </c>
      <c r="C17" s="2">
        <v>1</v>
      </c>
      <c r="D17" s="84">
        <v>39812</v>
      </c>
      <c r="E17" s="2">
        <v>20091981</v>
      </c>
      <c r="F17" s="84">
        <v>39810</v>
      </c>
      <c r="G17" s="2">
        <v>64</v>
      </c>
      <c r="H17" s="2">
        <v>18.190000000000001</v>
      </c>
      <c r="I17" s="2" t="s">
        <v>53</v>
      </c>
    </row>
    <row r="18" spans="1:9" x14ac:dyDescent="0.25">
      <c r="A18" s="2"/>
      <c r="B18" s="2">
        <v>2008</v>
      </c>
      <c r="C18" s="2">
        <v>1</v>
      </c>
      <c r="D18" s="84">
        <v>39813</v>
      </c>
      <c r="E18" s="2">
        <v>20091983</v>
      </c>
      <c r="F18" s="84" t="s">
        <v>49</v>
      </c>
      <c r="G18" s="2">
        <v>0.8</v>
      </c>
      <c r="H18" s="2">
        <v>21.05</v>
      </c>
      <c r="I18" s="2" t="s">
        <v>53</v>
      </c>
    </row>
    <row r="19" spans="1:9" x14ac:dyDescent="0.25">
      <c r="A19" s="2"/>
      <c r="B19" s="2">
        <v>2009</v>
      </c>
      <c r="C19" s="2">
        <v>1</v>
      </c>
      <c r="D19" s="84">
        <v>39815</v>
      </c>
      <c r="E19" s="2">
        <v>20090965</v>
      </c>
      <c r="F19" s="84">
        <v>39814</v>
      </c>
      <c r="G19" s="2">
        <v>25</v>
      </c>
      <c r="H19" s="2">
        <v>26.3</v>
      </c>
      <c r="I19" s="2" t="s">
        <v>54</v>
      </c>
    </row>
    <row r="20" spans="1:9" x14ac:dyDescent="0.25">
      <c r="A20" s="2"/>
      <c r="B20" s="2">
        <v>2009</v>
      </c>
      <c r="C20" s="2">
        <v>2</v>
      </c>
      <c r="D20" s="84">
        <v>39819</v>
      </c>
      <c r="E20" s="2">
        <v>20091068</v>
      </c>
      <c r="F20" s="84">
        <v>39819</v>
      </c>
      <c r="G20" s="2">
        <v>8</v>
      </c>
      <c r="H20" s="2">
        <v>28.5</v>
      </c>
      <c r="I20" s="2" t="s">
        <v>54</v>
      </c>
    </row>
    <row r="21" spans="1:9" x14ac:dyDescent="0.25">
      <c r="A21" s="2"/>
      <c r="B21" s="2">
        <v>2009</v>
      </c>
      <c r="C21" s="2">
        <v>2</v>
      </c>
      <c r="D21" s="84">
        <v>39819</v>
      </c>
      <c r="E21" s="2">
        <v>20091069</v>
      </c>
      <c r="F21" s="84">
        <v>39818</v>
      </c>
      <c r="G21" s="2">
        <v>55</v>
      </c>
      <c r="H21" s="2">
        <v>28</v>
      </c>
      <c r="I21" s="2" t="s">
        <v>54</v>
      </c>
    </row>
    <row r="22" spans="1:9" x14ac:dyDescent="0.25">
      <c r="A22" s="2"/>
      <c r="B22" s="2">
        <v>2009</v>
      </c>
      <c r="C22" s="2">
        <v>2</v>
      </c>
      <c r="D22" s="84">
        <v>39820</v>
      </c>
      <c r="E22" s="2">
        <v>20091094</v>
      </c>
      <c r="F22" s="84">
        <v>39818</v>
      </c>
      <c r="G22" s="2">
        <v>91</v>
      </c>
      <c r="H22" s="2">
        <v>28.7</v>
      </c>
      <c r="I22" s="2" t="s">
        <v>54</v>
      </c>
    </row>
    <row r="23" spans="1:9" x14ac:dyDescent="0.25">
      <c r="A23" s="2"/>
      <c r="B23" s="2">
        <v>2009</v>
      </c>
      <c r="C23" s="2">
        <v>2</v>
      </c>
      <c r="D23" s="84">
        <v>39821</v>
      </c>
      <c r="E23" s="2">
        <v>20091119</v>
      </c>
      <c r="F23" s="84">
        <v>39820</v>
      </c>
      <c r="G23" s="2">
        <v>38</v>
      </c>
      <c r="H23" s="2">
        <v>22.8</v>
      </c>
      <c r="I23" s="2" t="s">
        <v>54</v>
      </c>
    </row>
    <row r="24" spans="1:9" x14ac:dyDescent="0.25">
      <c r="A24" s="81"/>
      <c r="B24" s="81">
        <v>2009</v>
      </c>
      <c r="C24" s="81">
        <v>4</v>
      </c>
      <c r="D24" s="85">
        <v>39833</v>
      </c>
      <c r="E24" s="81">
        <v>20092285</v>
      </c>
      <c r="F24" s="85">
        <v>39831</v>
      </c>
      <c r="G24" s="81">
        <v>79</v>
      </c>
      <c r="H24" s="81">
        <v>27.78</v>
      </c>
      <c r="I24" s="81" t="s">
        <v>53</v>
      </c>
    </row>
    <row r="25" spans="1:9" x14ac:dyDescent="0.25">
      <c r="A25" s="2" t="s">
        <v>55</v>
      </c>
      <c r="B25" s="2">
        <v>2010</v>
      </c>
      <c r="C25" s="2">
        <v>42</v>
      </c>
      <c r="D25" s="84">
        <v>40473</v>
      </c>
      <c r="E25" s="2">
        <v>20110089</v>
      </c>
      <c r="F25" s="84" t="s">
        <v>49</v>
      </c>
      <c r="G25" s="2">
        <v>77</v>
      </c>
      <c r="H25" s="2">
        <v>28.45</v>
      </c>
      <c r="I25" s="2" t="s">
        <v>53</v>
      </c>
    </row>
    <row r="26" spans="1:9" x14ac:dyDescent="0.25">
      <c r="A26" s="2"/>
      <c r="B26" s="2">
        <v>2011</v>
      </c>
      <c r="C26" s="2">
        <v>1</v>
      </c>
      <c r="D26" s="84">
        <v>40549</v>
      </c>
      <c r="E26" s="2">
        <v>20110216</v>
      </c>
      <c r="F26" s="84" t="s">
        <v>49</v>
      </c>
      <c r="G26" s="2">
        <v>61</v>
      </c>
      <c r="H26" s="2">
        <v>29.07</v>
      </c>
      <c r="I26" s="2" t="s">
        <v>53</v>
      </c>
    </row>
    <row r="27" spans="1:9" x14ac:dyDescent="0.25">
      <c r="A27" s="81"/>
      <c r="B27" s="81">
        <v>2011</v>
      </c>
      <c r="C27" s="81">
        <v>2</v>
      </c>
      <c r="D27" s="85">
        <v>40553</v>
      </c>
      <c r="E27" s="81">
        <v>20110129</v>
      </c>
      <c r="F27" s="85">
        <v>40551</v>
      </c>
      <c r="G27" s="81">
        <v>49</v>
      </c>
      <c r="H27" s="81">
        <v>20.94</v>
      </c>
      <c r="I27" s="81" t="s">
        <v>54</v>
      </c>
    </row>
    <row r="28" spans="1:9" x14ac:dyDescent="0.25">
      <c r="A28" s="2" t="s">
        <v>56</v>
      </c>
      <c r="B28" s="2">
        <v>2012</v>
      </c>
      <c r="C28" s="2">
        <v>3</v>
      </c>
      <c r="D28" s="84">
        <v>40927</v>
      </c>
      <c r="E28" s="2">
        <v>20120647</v>
      </c>
      <c r="F28" s="84">
        <v>40922</v>
      </c>
      <c r="G28" s="2">
        <v>38</v>
      </c>
      <c r="H28" s="2">
        <v>23.9</v>
      </c>
      <c r="I28" s="2" t="s">
        <v>53</v>
      </c>
    </row>
    <row r="29" spans="1:9" x14ac:dyDescent="0.25">
      <c r="A29" s="2"/>
      <c r="B29" s="2">
        <v>2012</v>
      </c>
      <c r="C29" s="2">
        <v>6</v>
      </c>
      <c r="D29" s="84">
        <v>40948</v>
      </c>
      <c r="E29" s="2">
        <v>20121047</v>
      </c>
      <c r="F29" s="84" t="s">
        <v>49</v>
      </c>
      <c r="G29" s="2">
        <v>43</v>
      </c>
      <c r="H29" s="2">
        <v>28.65</v>
      </c>
      <c r="I29" s="2" t="s">
        <v>53</v>
      </c>
    </row>
    <row r="30" spans="1:9" x14ac:dyDescent="0.25">
      <c r="A30" s="2"/>
      <c r="B30" s="2">
        <v>2012</v>
      </c>
      <c r="C30" s="2">
        <v>7</v>
      </c>
      <c r="D30" s="84">
        <v>40953</v>
      </c>
      <c r="E30" s="2">
        <v>20120642</v>
      </c>
      <c r="F30" s="84">
        <v>40951</v>
      </c>
      <c r="G30" s="2">
        <v>53</v>
      </c>
      <c r="H30" s="2">
        <v>17.37</v>
      </c>
      <c r="I30" s="2" t="s">
        <v>53</v>
      </c>
    </row>
    <row r="31" spans="1:9" x14ac:dyDescent="0.25">
      <c r="A31" s="2"/>
      <c r="B31" s="2">
        <v>2012</v>
      </c>
      <c r="C31" s="2">
        <v>7</v>
      </c>
      <c r="D31" s="84">
        <v>40954</v>
      </c>
      <c r="E31" s="2">
        <v>20120513</v>
      </c>
      <c r="F31" s="84">
        <v>40953</v>
      </c>
      <c r="G31" s="2">
        <v>33</v>
      </c>
      <c r="H31" s="2">
        <v>25.05</v>
      </c>
      <c r="I31" s="2" t="s">
        <v>54</v>
      </c>
    </row>
    <row r="32" spans="1:9" x14ac:dyDescent="0.25">
      <c r="A32" s="2"/>
      <c r="B32" s="2">
        <v>2012</v>
      </c>
      <c r="C32" s="2">
        <v>9</v>
      </c>
      <c r="D32" s="84">
        <v>40969</v>
      </c>
      <c r="E32" s="2">
        <v>20120850</v>
      </c>
      <c r="F32" s="84">
        <v>40967</v>
      </c>
      <c r="G32" s="2">
        <v>41</v>
      </c>
      <c r="H32" s="2">
        <v>26.11</v>
      </c>
      <c r="I32" s="2" t="s">
        <v>54</v>
      </c>
    </row>
    <row r="33" spans="1:9" x14ac:dyDescent="0.25">
      <c r="A33" s="2"/>
      <c r="B33" s="2">
        <v>2012</v>
      </c>
      <c r="C33" s="2">
        <v>9</v>
      </c>
      <c r="D33" s="84">
        <v>40970</v>
      </c>
      <c r="E33" s="2">
        <v>20120884</v>
      </c>
      <c r="F33" s="84" t="s">
        <v>49</v>
      </c>
      <c r="G33" s="2">
        <v>41</v>
      </c>
      <c r="H33" s="2">
        <v>30.85</v>
      </c>
      <c r="I33" s="2" t="s">
        <v>54</v>
      </c>
    </row>
    <row r="34" spans="1:9" x14ac:dyDescent="0.25">
      <c r="A34" s="2"/>
      <c r="B34" s="2">
        <v>2012</v>
      </c>
      <c r="C34" s="2">
        <v>9</v>
      </c>
      <c r="D34" s="84">
        <v>40973</v>
      </c>
      <c r="E34" s="2">
        <v>20120907</v>
      </c>
      <c r="F34" s="84">
        <v>40971</v>
      </c>
      <c r="G34" s="2">
        <v>53</v>
      </c>
      <c r="H34" s="2">
        <v>27.25</v>
      </c>
      <c r="I34" s="2" t="s">
        <v>54</v>
      </c>
    </row>
    <row r="35" spans="1:9" x14ac:dyDescent="0.25">
      <c r="A35" s="2"/>
      <c r="B35" s="2">
        <v>2012</v>
      </c>
      <c r="C35" s="2">
        <v>9</v>
      </c>
      <c r="D35" s="84">
        <v>40973</v>
      </c>
      <c r="E35" s="2">
        <v>20120924</v>
      </c>
      <c r="F35" s="84">
        <v>40972</v>
      </c>
      <c r="G35" s="2">
        <v>5</v>
      </c>
      <c r="H35" s="2">
        <v>25.38</v>
      </c>
      <c r="I35" s="2" t="s">
        <v>54</v>
      </c>
    </row>
    <row r="36" spans="1:9" x14ac:dyDescent="0.25">
      <c r="A36" s="2"/>
      <c r="B36" s="2">
        <v>2012</v>
      </c>
      <c r="C36" s="2">
        <v>10</v>
      </c>
      <c r="D36" s="84">
        <v>40976</v>
      </c>
      <c r="E36" s="2">
        <v>20121009</v>
      </c>
      <c r="F36" s="84" t="s">
        <v>49</v>
      </c>
      <c r="G36" s="2">
        <v>50</v>
      </c>
      <c r="H36" s="2">
        <v>27.18</v>
      </c>
      <c r="I36" s="2" t="s">
        <v>53</v>
      </c>
    </row>
    <row r="37" spans="1:9" x14ac:dyDescent="0.25">
      <c r="A37" s="2"/>
      <c r="B37" s="2">
        <v>2012</v>
      </c>
      <c r="C37" s="2">
        <v>10</v>
      </c>
      <c r="D37" s="84">
        <v>40980</v>
      </c>
      <c r="E37" s="2">
        <v>20120992</v>
      </c>
      <c r="F37" s="84">
        <v>40980</v>
      </c>
      <c r="G37" s="2">
        <v>8</v>
      </c>
      <c r="H37" s="2">
        <v>24.97</v>
      </c>
      <c r="I37" s="2" t="s">
        <v>54</v>
      </c>
    </row>
    <row r="38" spans="1:9" x14ac:dyDescent="0.25">
      <c r="A38" s="2"/>
      <c r="B38" s="2">
        <v>2012</v>
      </c>
      <c r="C38" s="2">
        <v>10</v>
      </c>
      <c r="D38" s="84">
        <v>40980</v>
      </c>
      <c r="E38" s="2">
        <v>20121026</v>
      </c>
      <c r="F38" s="84">
        <v>40979</v>
      </c>
      <c r="G38" s="2">
        <v>23</v>
      </c>
      <c r="H38" s="2">
        <v>29.29</v>
      </c>
      <c r="I38" s="2" t="s">
        <v>54</v>
      </c>
    </row>
    <row r="39" spans="1:9" x14ac:dyDescent="0.25">
      <c r="A39" s="2"/>
      <c r="B39" s="2">
        <v>2012</v>
      </c>
      <c r="C39" s="2">
        <v>11</v>
      </c>
      <c r="D39" s="84">
        <v>40983</v>
      </c>
      <c r="E39" s="2">
        <v>20121040</v>
      </c>
      <c r="F39" s="84">
        <v>40982</v>
      </c>
      <c r="G39" s="2">
        <v>30</v>
      </c>
      <c r="H39" s="2">
        <v>24.55</v>
      </c>
      <c r="I39" s="2" t="s">
        <v>54</v>
      </c>
    </row>
    <row r="40" spans="1:9" x14ac:dyDescent="0.25">
      <c r="A40" s="2"/>
      <c r="B40" s="2">
        <v>2012</v>
      </c>
      <c r="C40" s="2">
        <v>11</v>
      </c>
      <c r="D40" s="84">
        <v>40988</v>
      </c>
      <c r="E40" s="2">
        <v>20121105</v>
      </c>
      <c r="F40" s="84">
        <v>40987</v>
      </c>
      <c r="G40" s="2">
        <v>5</v>
      </c>
      <c r="H40" s="2">
        <v>27.85</v>
      </c>
      <c r="I40" s="2" t="s">
        <v>54</v>
      </c>
    </row>
    <row r="41" spans="1:9" x14ac:dyDescent="0.25">
      <c r="A41" s="2"/>
      <c r="B41" s="2">
        <v>2012</v>
      </c>
      <c r="C41" s="2">
        <v>11</v>
      </c>
      <c r="D41" s="84">
        <v>40988</v>
      </c>
      <c r="E41" s="2">
        <v>20121116</v>
      </c>
      <c r="F41" s="84">
        <v>40986</v>
      </c>
      <c r="G41" s="2">
        <v>46</v>
      </c>
      <c r="H41" s="2">
        <v>25.66</v>
      </c>
      <c r="I41" s="2" t="s">
        <v>54</v>
      </c>
    </row>
    <row r="42" spans="1:9" x14ac:dyDescent="0.25">
      <c r="A42" s="2"/>
      <c r="B42" s="2">
        <v>2012</v>
      </c>
      <c r="C42" s="2">
        <v>12</v>
      </c>
      <c r="D42" s="84">
        <v>40989</v>
      </c>
      <c r="E42" s="2">
        <v>20121156</v>
      </c>
      <c r="F42" s="84">
        <v>40985</v>
      </c>
      <c r="G42" s="2">
        <v>89</v>
      </c>
      <c r="H42" s="2">
        <v>22.09</v>
      </c>
      <c r="I42" s="2" t="s">
        <v>53</v>
      </c>
    </row>
    <row r="43" spans="1:9" x14ac:dyDescent="0.25">
      <c r="A43" s="2"/>
      <c r="B43" s="2">
        <v>2012</v>
      </c>
      <c r="C43" s="2">
        <v>12</v>
      </c>
      <c r="D43" s="84">
        <v>40994</v>
      </c>
      <c r="E43" s="22">
        <v>20121201</v>
      </c>
      <c r="F43" s="84">
        <v>40993</v>
      </c>
      <c r="G43" s="2">
        <v>40</v>
      </c>
      <c r="H43" s="2">
        <v>31.14</v>
      </c>
      <c r="I43" s="2" t="s">
        <v>54</v>
      </c>
    </row>
    <row r="44" spans="1:9" x14ac:dyDescent="0.25">
      <c r="A44" s="2"/>
      <c r="B44" s="2">
        <v>2012</v>
      </c>
      <c r="C44" s="2">
        <v>12</v>
      </c>
      <c r="D44" s="84">
        <v>40994</v>
      </c>
      <c r="E44" s="2">
        <v>20121208</v>
      </c>
      <c r="F44" s="84">
        <v>40993</v>
      </c>
      <c r="G44" s="2">
        <v>73</v>
      </c>
      <c r="H44" s="2">
        <v>19.649999999999999</v>
      </c>
      <c r="I44" s="2" t="s">
        <v>54</v>
      </c>
    </row>
    <row r="45" spans="1:9" x14ac:dyDescent="0.25">
      <c r="A45" s="81"/>
      <c r="B45" s="81">
        <v>2012</v>
      </c>
      <c r="C45" s="81">
        <v>14</v>
      </c>
      <c r="D45" s="85">
        <v>41006</v>
      </c>
      <c r="E45" s="81">
        <v>20121380</v>
      </c>
      <c r="F45" s="85">
        <v>41004</v>
      </c>
      <c r="G45" s="81">
        <v>32</v>
      </c>
      <c r="H45" s="81">
        <v>32.99</v>
      </c>
      <c r="I45" s="81" t="s">
        <v>54</v>
      </c>
    </row>
  </sheetData>
  <sheetProtection algorithmName="SHA-512" hashValue="89J8e8FKqItD1Sk4ELh6MxVOc2kv92phL2FGiYJA/fJQ6w+onp52jmiw5OG3uB00Z0zDJjcI8OzGQIDYuUBNOQ==" saltValue="d2cGyJU+p6K7IXY4zrHjZg==" spinCount="100000" sheet="1" objects="1" scenarios="1" formatCells="0" formatColumns="0" formatRows="0"/>
  <mergeCells count="7">
    <mergeCell ref="H9:H10"/>
    <mergeCell ref="I9:I10"/>
    <mergeCell ref="B9:D9"/>
    <mergeCell ref="A9:A10"/>
    <mergeCell ref="E9:E10"/>
    <mergeCell ref="F9:F10"/>
    <mergeCell ref="G9:G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F117"/>
  <sheetViews>
    <sheetView zoomScaleNormal="100" workbookViewId="0">
      <pane xSplit="2" ySplit="12" topLeftCell="C13" activePane="bottomRight" state="frozen"/>
      <selection pane="topRight" activeCell="C1" sqref="C1"/>
      <selection pane="bottomLeft" activeCell="A12" sqref="A12"/>
      <selection pane="bottomRight"/>
    </sheetView>
  </sheetViews>
  <sheetFormatPr defaultColWidth="11.25" defaultRowHeight="15.75" x14ac:dyDescent="0.25"/>
  <cols>
    <col min="1" max="1" width="12.625" style="2" customWidth="1"/>
    <col min="2" max="2" width="6.75" style="2" customWidth="1"/>
    <col min="3" max="3" width="14.625" style="2" customWidth="1"/>
    <col min="4" max="4" width="5.5" style="2" customWidth="1"/>
    <col min="5" max="5" width="10.625" style="2" customWidth="1"/>
    <col min="6" max="14" width="9.625" style="2" bestFit="1" customWidth="1"/>
    <col min="15" max="15" width="8.125" style="2" bestFit="1" customWidth="1"/>
    <col min="16" max="17" width="9.625" style="2" bestFit="1" customWidth="1"/>
    <col min="18" max="18" width="8.125" style="2" bestFit="1" customWidth="1"/>
    <col min="19" max="19" width="9.625" style="2" bestFit="1" customWidth="1"/>
    <col min="20" max="20" width="7.75" style="2" customWidth="1"/>
    <col min="21" max="21" width="7.875" style="2" customWidth="1"/>
    <col min="22" max="22" width="7.5" style="2" customWidth="1"/>
    <col min="23" max="23" width="14.125" customWidth="1"/>
    <col min="24" max="31" width="10.375" customWidth="1"/>
    <col min="32" max="32" width="22.375" customWidth="1"/>
  </cols>
  <sheetData>
    <row r="1" spans="1:32" ht="21" x14ac:dyDescent="0.35">
      <c r="A1" s="9" t="s">
        <v>1068</v>
      </c>
      <c r="B1" s="6"/>
      <c r="C1" s="6"/>
    </row>
    <row r="2" spans="1:32" x14ac:dyDescent="0.25">
      <c r="A2" s="6"/>
      <c r="B2" s="6"/>
      <c r="C2" s="6"/>
    </row>
    <row r="3" spans="1:32" x14ac:dyDescent="0.25">
      <c r="A3" s="6" t="s">
        <v>1070</v>
      </c>
      <c r="B3" s="6"/>
      <c r="C3" s="6"/>
    </row>
    <row r="4" spans="1:32" x14ac:dyDescent="0.25">
      <c r="A4" s="6" t="s">
        <v>1131</v>
      </c>
      <c r="B4" s="6"/>
      <c r="C4" s="6"/>
    </row>
    <row r="5" spans="1:32" x14ac:dyDescent="0.25">
      <c r="A5" s="6" t="s">
        <v>1132</v>
      </c>
      <c r="B5" s="6"/>
      <c r="C5" s="6"/>
    </row>
    <row r="6" spans="1:32" x14ac:dyDescent="0.25">
      <c r="A6" s="6" t="s">
        <v>1071</v>
      </c>
      <c r="B6" s="6"/>
      <c r="C6" s="6"/>
    </row>
    <row r="7" spans="1:32" x14ac:dyDescent="0.25">
      <c r="A7" s="6" t="s">
        <v>1072</v>
      </c>
      <c r="B7" s="6"/>
      <c r="C7" s="6"/>
    </row>
    <row r="8" spans="1:32" x14ac:dyDescent="0.25">
      <c r="A8" s="6" t="s">
        <v>1073</v>
      </c>
      <c r="B8" s="6"/>
      <c r="C8" s="6"/>
    </row>
    <row r="9" spans="1:32" x14ac:dyDescent="0.25">
      <c r="A9" s="6"/>
      <c r="B9" s="6"/>
      <c r="C9" s="6"/>
    </row>
    <row r="11" spans="1:32" s="9" customFormat="1" ht="21" x14ac:dyDescent="0.35">
      <c r="A11" s="8"/>
      <c r="B11" s="8"/>
      <c r="C11" s="165" t="s">
        <v>1065</v>
      </c>
      <c r="D11" s="166"/>
      <c r="E11" s="167"/>
      <c r="F11" s="165" t="s">
        <v>1062</v>
      </c>
      <c r="G11" s="166"/>
      <c r="H11" s="166"/>
      <c r="I11" s="167"/>
      <c r="J11" s="165" t="s">
        <v>1061</v>
      </c>
      <c r="K11" s="166"/>
      <c r="L11" s="166"/>
      <c r="M11" s="166"/>
      <c r="N11" s="166"/>
      <c r="O11" s="166"/>
      <c r="P11" s="166"/>
      <c r="Q11" s="166"/>
      <c r="R11" s="167"/>
      <c r="S11" s="165" t="s">
        <v>450</v>
      </c>
      <c r="T11" s="166"/>
      <c r="U11" s="166"/>
      <c r="V11" s="167"/>
      <c r="W11" s="165" t="s">
        <v>449</v>
      </c>
      <c r="X11" s="166"/>
      <c r="Y11" s="166"/>
      <c r="Z11" s="166"/>
      <c r="AA11" s="166"/>
      <c r="AB11" s="166"/>
      <c r="AC11" s="166"/>
      <c r="AD11" s="166"/>
      <c r="AE11" s="166"/>
      <c r="AF11" s="167"/>
    </row>
    <row r="12" spans="1:32" s="7" customFormat="1" ht="38.25" customHeight="1" x14ac:dyDescent="0.25">
      <c r="A12" s="19" t="s">
        <v>0</v>
      </c>
      <c r="B12" s="20" t="s">
        <v>1</v>
      </c>
      <c r="C12" s="10" t="s">
        <v>2</v>
      </c>
      <c r="D12" s="11" t="s">
        <v>4</v>
      </c>
      <c r="E12" s="12" t="s">
        <v>3</v>
      </c>
      <c r="F12" s="13" t="s">
        <v>1063</v>
      </c>
      <c r="G12" s="14" t="s">
        <v>451</v>
      </c>
      <c r="H12" s="14" t="s">
        <v>452</v>
      </c>
      <c r="I12" s="15" t="s">
        <v>1064</v>
      </c>
      <c r="J12" s="10" t="s">
        <v>5</v>
      </c>
      <c r="K12" s="11" t="s">
        <v>6</v>
      </c>
      <c r="L12" s="11" t="s">
        <v>7</v>
      </c>
      <c r="M12" s="11" t="s">
        <v>8</v>
      </c>
      <c r="N12" s="11" t="s">
        <v>9</v>
      </c>
      <c r="O12" s="11" t="s">
        <v>11</v>
      </c>
      <c r="P12" s="11" t="s">
        <v>10</v>
      </c>
      <c r="Q12" s="11" t="s">
        <v>12</v>
      </c>
      <c r="R12" s="12" t="s">
        <v>13</v>
      </c>
      <c r="S12" s="13" t="s">
        <v>451</v>
      </c>
      <c r="T12" s="14" t="s">
        <v>453</v>
      </c>
      <c r="U12" s="14" t="s">
        <v>454</v>
      </c>
      <c r="V12" s="15" t="s">
        <v>455</v>
      </c>
      <c r="W12" s="16" t="s">
        <v>59</v>
      </c>
      <c r="X12" s="17" t="s">
        <v>60</v>
      </c>
      <c r="Y12" s="17" t="s">
        <v>61</v>
      </c>
      <c r="Z12" s="17" t="s">
        <v>62</v>
      </c>
      <c r="AA12" s="17" t="s">
        <v>63</v>
      </c>
      <c r="AB12" s="17" t="s">
        <v>64</v>
      </c>
      <c r="AC12" s="17" t="s">
        <v>65</v>
      </c>
      <c r="AD12" s="17" t="s">
        <v>66</v>
      </c>
      <c r="AE12" s="17" t="s">
        <v>67</v>
      </c>
      <c r="AF12" s="18" t="s">
        <v>68</v>
      </c>
    </row>
    <row r="13" spans="1:32" s="21" customFormat="1" x14ac:dyDescent="0.25">
      <c r="A13" s="41">
        <v>20080358</v>
      </c>
      <c r="B13" s="42" t="s">
        <v>14</v>
      </c>
      <c r="C13" s="43" t="s">
        <v>33</v>
      </c>
      <c r="D13" s="44">
        <v>1</v>
      </c>
      <c r="E13" s="45" t="s">
        <v>15</v>
      </c>
      <c r="F13" s="46">
        <f>4000000+2901391</f>
        <v>6901391</v>
      </c>
      <c r="G13" s="47">
        <f>3620256+2502297</f>
        <v>6122553</v>
      </c>
      <c r="H13" s="47">
        <f>2801164+1939834</f>
        <v>4740998</v>
      </c>
      <c r="I13" s="48"/>
      <c r="J13" s="46">
        <v>4716404</v>
      </c>
      <c r="K13" s="47">
        <v>1230862</v>
      </c>
      <c r="L13" s="47">
        <v>55270</v>
      </c>
      <c r="M13" s="47">
        <v>673910</v>
      </c>
      <c r="N13" s="47">
        <v>1074904</v>
      </c>
      <c r="O13" s="47">
        <v>399336</v>
      </c>
      <c r="P13" s="47" t="s">
        <v>19</v>
      </c>
      <c r="Q13" s="47">
        <v>1282122</v>
      </c>
      <c r="R13" s="48" t="s">
        <v>19</v>
      </c>
      <c r="S13" s="50">
        <f>(G13/F13)*100</f>
        <v>88.714767791014879</v>
      </c>
      <c r="T13" s="51">
        <f>(H13/G13)*100</f>
        <v>77.434985046270725</v>
      </c>
      <c r="U13" s="51"/>
      <c r="V13" s="73"/>
      <c r="W13" s="53" t="s">
        <v>456</v>
      </c>
      <c r="X13" s="54" t="s">
        <v>457</v>
      </c>
      <c r="Y13" s="54" t="s">
        <v>458</v>
      </c>
      <c r="Z13" s="54" t="s">
        <v>459</v>
      </c>
      <c r="AA13" s="54" t="s">
        <v>460</v>
      </c>
      <c r="AB13" s="54" t="s">
        <v>461</v>
      </c>
      <c r="AC13" s="54" t="s">
        <v>462</v>
      </c>
      <c r="AD13" s="54" t="s">
        <v>463</v>
      </c>
      <c r="AE13" s="54" t="s">
        <v>464</v>
      </c>
      <c r="AF13" s="55" t="s">
        <v>465</v>
      </c>
    </row>
    <row r="14" spans="1:32" s="21" customFormat="1" x14ac:dyDescent="0.25">
      <c r="A14" s="41"/>
      <c r="B14" s="42" t="s">
        <v>17</v>
      </c>
      <c r="C14" s="43" t="s">
        <v>33</v>
      </c>
      <c r="D14" s="44">
        <v>1</v>
      </c>
      <c r="E14" s="45" t="s">
        <v>18</v>
      </c>
      <c r="F14" s="46">
        <v>2133831</v>
      </c>
      <c r="G14" s="47">
        <v>1872831</v>
      </c>
      <c r="H14" s="47">
        <v>1521820</v>
      </c>
      <c r="I14" s="48"/>
      <c r="J14" s="46">
        <v>1518581</v>
      </c>
      <c r="K14" s="47">
        <v>566094</v>
      </c>
      <c r="L14" s="47">
        <v>15954</v>
      </c>
      <c r="M14" s="49">
        <v>81522</v>
      </c>
      <c r="N14" s="47">
        <v>33375</v>
      </c>
      <c r="O14" s="47" t="s">
        <v>19</v>
      </c>
      <c r="P14" s="47">
        <v>781576</v>
      </c>
      <c r="Q14" s="47" t="s">
        <v>19</v>
      </c>
      <c r="R14" s="48">
        <v>40060</v>
      </c>
      <c r="S14" s="50">
        <f>(G14/F14)*100</f>
        <v>87.768478384651829</v>
      </c>
      <c r="T14" s="51">
        <f>(H14/G14)*100</f>
        <v>81.257732278032563</v>
      </c>
      <c r="U14" s="51"/>
      <c r="V14" s="73"/>
      <c r="W14" s="53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2" s="21" customFormat="1" x14ac:dyDescent="0.25">
      <c r="A15" s="41"/>
      <c r="B15" s="42" t="s">
        <v>29</v>
      </c>
      <c r="C15" s="43"/>
      <c r="D15" s="44"/>
      <c r="E15" s="45"/>
      <c r="F15" s="46"/>
      <c r="G15" s="47"/>
      <c r="H15" s="47">
        <v>6262818</v>
      </c>
      <c r="I15" s="48">
        <v>6262403</v>
      </c>
      <c r="J15" s="46">
        <v>6234630</v>
      </c>
      <c r="K15" s="47">
        <v>1796956</v>
      </c>
      <c r="L15" s="47">
        <v>71224</v>
      </c>
      <c r="M15" s="49">
        <v>755432</v>
      </c>
      <c r="N15" s="47">
        <v>1107924</v>
      </c>
      <c r="O15" s="47">
        <v>399336</v>
      </c>
      <c r="P15" s="47">
        <v>781576</v>
      </c>
      <c r="Q15" s="47">
        <v>1282122</v>
      </c>
      <c r="R15" s="48">
        <v>40060</v>
      </c>
      <c r="S15" s="50"/>
      <c r="T15" s="51"/>
      <c r="U15" s="51">
        <f t="shared" ref="U15" si="0">(I15/H15)*100</f>
        <v>99.993373589971796</v>
      </c>
      <c r="V15" s="73">
        <f>(I15/(F13+F14))*100</f>
        <v>69.311003094334595</v>
      </c>
      <c r="W15" s="53"/>
      <c r="X15" s="54"/>
      <c r="Y15" s="54"/>
      <c r="Z15" s="54"/>
      <c r="AA15" s="54"/>
      <c r="AB15" s="54"/>
      <c r="AC15" s="54"/>
      <c r="AD15" s="54"/>
      <c r="AE15" s="54"/>
      <c r="AF15" s="55"/>
    </row>
    <row r="16" spans="1:32" s="21" customFormat="1" x14ac:dyDescent="0.25">
      <c r="A16" s="26">
        <v>20090123</v>
      </c>
      <c r="B16" s="27" t="s">
        <v>14</v>
      </c>
      <c r="C16" s="28" t="s">
        <v>33</v>
      </c>
      <c r="D16" s="29">
        <v>6</v>
      </c>
      <c r="E16" s="30" t="s">
        <v>21</v>
      </c>
      <c r="F16" s="31">
        <v>3250166</v>
      </c>
      <c r="G16" s="32">
        <v>3012613</v>
      </c>
      <c r="H16" s="32">
        <v>2385004</v>
      </c>
      <c r="I16" s="33"/>
      <c r="J16" s="31">
        <v>2381535</v>
      </c>
      <c r="K16" s="32">
        <v>152532</v>
      </c>
      <c r="L16" s="32">
        <v>692193</v>
      </c>
      <c r="M16" s="34">
        <v>276233</v>
      </c>
      <c r="N16" s="32">
        <v>609104</v>
      </c>
      <c r="O16" s="32">
        <v>217995</v>
      </c>
      <c r="P16" s="32" t="s">
        <v>19</v>
      </c>
      <c r="Q16" s="32">
        <v>433478</v>
      </c>
      <c r="R16" s="33" t="s">
        <v>19</v>
      </c>
      <c r="S16" s="35">
        <f>(G16/F16)*100</f>
        <v>92.691050241741507</v>
      </c>
      <c r="T16" s="36">
        <f>(H16/G16)*100</f>
        <v>79.167287666885855</v>
      </c>
      <c r="U16" s="36"/>
      <c r="V16" s="71"/>
      <c r="W16" s="38" t="s">
        <v>466</v>
      </c>
      <c r="X16" s="39" t="s">
        <v>467</v>
      </c>
      <c r="Y16" s="39" t="s">
        <v>468</v>
      </c>
      <c r="Z16" s="39" t="s">
        <v>469</v>
      </c>
      <c r="AA16" s="39" t="s">
        <v>470</v>
      </c>
      <c r="AB16" s="39" t="s">
        <v>471</v>
      </c>
      <c r="AC16" s="39" t="s">
        <v>472</v>
      </c>
      <c r="AD16" s="39" t="s">
        <v>473</v>
      </c>
      <c r="AE16" s="39" t="s">
        <v>474</v>
      </c>
      <c r="AF16" s="40" t="s">
        <v>475</v>
      </c>
    </row>
    <row r="17" spans="1:32" s="21" customFormat="1" x14ac:dyDescent="0.25">
      <c r="A17" s="26"/>
      <c r="B17" s="27" t="s">
        <v>17</v>
      </c>
      <c r="C17" s="28" t="s">
        <v>33</v>
      </c>
      <c r="D17" s="29">
        <v>6</v>
      </c>
      <c r="E17" s="30" t="s">
        <v>22</v>
      </c>
      <c r="F17" s="31">
        <v>1206194</v>
      </c>
      <c r="G17" s="32">
        <v>1114638</v>
      </c>
      <c r="H17" s="32">
        <v>893161</v>
      </c>
      <c r="I17" s="33"/>
      <c r="J17" s="31">
        <v>891214</v>
      </c>
      <c r="K17" s="32">
        <v>198415</v>
      </c>
      <c r="L17" s="32">
        <v>146901</v>
      </c>
      <c r="M17" s="34">
        <v>65598</v>
      </c>
      <c r="N17" s="32">
        <v>130980</v>
      </c>
      <c r="O17" s="32" t="s">
        <v>19</v>
      </c>
      <c r="P17" s="32">
        <v>280004</v>
      </c>
      <c r="Q17" s="32" t="s">
        <v>19</v>
      </c>
      <c r="R17" s="33">
        <v>69316</v>
      </c>
      <c r="S17" s="35">
        <f>(G17/F17)*100</f>
        <v>92.409512897593586</v>
      </c>
      <c r="T17" s="36">
        <f>(H17/G17)*100</f>
        <v>80.130140906733843</v>
      </c>
      <c r="U17" s="36"/>
      <c r="V17" s="71"/>
      <c r="W17" s="38"/>
      <c r="X17" s="39"/>
      <c r="Y17" s="39"/>
      <c r="Z17" s="39"/>
      <c r="AA17" s="39"/>
      <c r="AB17" s="39"/>
      <c r="AC17" s="39"/>
      <c r="AD17" s="39"/>
      <c r="AE17" s="39"/>
      <c r="AF17" s="40"/>
    </row>
    <row r="18" spans="1:32" s="21" customFormat="1" x14ac:dyDescent="0.25">
      <c r="A18" s="26"/>
      <c r="B18" s="27" t="s">
        <v>29</v>
      </c>
      <c r="C18" s="28"/>
      <c r="D18" s="29"/>
      <c r="E18" s="30"/>
      <c r="F18" s="31"/>
      <c r="G18" s="32"/>
      <c r="H18" s="32">
        <v>3278165</v>
      </c>
      <c r="I18" s="33">
        <v>3278143</v>
      </c>
      <c r="J18" s="31">
        <v>3272741</v>
      </c>
      <c r="K18" s="32">
        <v>350946</v>
      </c>
      <c r="L18" s="32">
        <v>839094</v>
      </c>
      <c r="M18" s="34">
        <v>341830</v>
      </c>
      <c r="N18" s="32">
        <v>740084</v>
      </c>
      <c r="O18" s="32">
        <v>217995</v>
      </c>
      <c r="P18" s="32">
        <v>279998</v>
      </c>
      <c r="Q18" s="32">
        <v>433478</v>
      </c>
      <c r="R18" s="33">
        <v>69316</v>
      </c>
      <c r="S18" s="35"/>
      <c r="T18" s="36"/>
      <c r="U18" s="36">
        <f t="shared" ref="U18" si="1">(I18/H18)*100</f>
        <v>99.999328892840964</v>
      </c>
      <c r="V18" s="71">
        <f>(I18/(F16+F17))*100</f>
        <v>73.561000457772707</v>
      </c>
      <c r="W18" s="38"/>
      <c r="X18" s="39"/>
      <c r="Y18" s="39"/>
      <c r="Z18" s="39"/>
      <c r="AA18" s="39"/>
      <c r="AB18" s="39"/>
      <c r="AC18" s="39"/>
      <c r="AD18" s="39"/>
      <c r="AE18" s="39"/>
      <c r="AF18" s="40"/>
    </row>
    <row r="19" spans="1:32" s="21" customFormat="1" x14ac:dyDescent="0.25">
      <c r="A19" s="41">
        <v>20090711</v>
      </c>
      <c r="B19" s="42" t="s">
        <v>14</v>
      </c>
      <c r="C19" s="43" t="s">
        <v>33</v>
      </c>
      <c r="D19" s="44">
        <v>5</v>
      </c>
      <c r="E19" s="45" t="s">
        <v>21</v>
      </c>
      <c r="F19" s="46">
        <v>1611179</v>
      </c>
      <c r="G19" s="47">
        <v>1380533</v>
      </c>
      <c r="H19" s="47">
        <v>1102458</v>
      </c>
      <c r="I19" s="48"/>
      <c r="J19" s="46">
        <v>1097216</v>
      </c>
      <c r="K19" s="47">
        <v>332289</v>
      </c>
      <c r="L19" s="47">
        <v>159877</v>
      </c>
      <c r="M19" s="49">
        <v>226711</v>
      </c>
      <c r="N19" s="47">
        <v>86981</v>
      </c>
      <c r="O19" s="47">
        <v>268176</v>
      </c>
      <c r="P19" s="47" t="s">
        <v>19</v>
      </c>
      <c r="Q19" s="47">
        <v>23182</v>
      </c>
      <c r="R19" s="48" t="s">
        <v>19</v>
      </c>
      <c r="S19" s="50">
        <f>(G19/F19)*100</f>
        <v>85.684644598768983</v>
      </c>
      <c r="T19" s="51">
        <f>(H19/G19)*100</f>
        <v>79.857417388791134</v>
      </c>
      <c r="U19" s="51"/>
      <c r="V19" s="73"/>
      <c r="W19" s="53" t="s">
        <v>476</v>
      </c>
      <c r="X19" s="54" t="s">
        <v>477</v>
      </c>
      <c r="Y19" s="54" t="s">
        <v>478</v>
      </c>
      <c r="Z19" s="54" t="s">
        <v>479</v>
      </c>
      <c r="AA19" s="54" t="s">
        <v>480</v>
      </c>
      <c r="AB19" s="54" t="s">
        <v>481</v>
      </c>
      <c r="AC19" s="54" t="s">
        <v>482</v>
      </c>
      <c r="AD19" s="54" t="s">
        <v>483</v>
      </c>
      <c r="AE19" s="54" t="s">
        <v>484</v>
      </c>
      <c r="AF19" s="55" t="s">
        <v>485</v>
      </c>
    </row>
    <row r="20" spans="1:32" s="21" customFormat="1" x14ac:dyDescent="0.25">
      <c r="A20" s="41"/>
      <c r="B20" s="42" t="s">
        <v>17</v>
      </c>
      <c r="C20" s="43" t="s">
        <v>33</v>
      </c>
      <c r="D20" s="44">
        <v>5</v>
      </c>
      <c r="E20" s="45" t="s">
        <v>22</v>
      </c>
      <c r="F20" s="46">
        <v>1063320</v>
      </c>
      <c r="G20" s="47">
        <v>900532</v>
      </c>
      <c r="H20" s="47">
        <v>716403</v>
      </c>
      <c r="I20" s="48"/>
      <c r="J20" s="46">
        <v>700734</v>
      </c>
      <c r="K20" s="47">
        <v>203324</v>
      </c>
      <c r="L20" s="47">
        <v>63119</v>
      </c>
      <c r="M20" s="49">
        <v>16479</v>
      </c>
      <c r="N20" s="47">
        <v>123692</v>
      </c>
      <c r="O20" s="47" t="s">
        <v>19</v>
      </c>
      <c r="P20" s="47">
        <v>278599</v>
      </c>
      <c r="Q20" s="47" t="s">
        <v>19</v>
      </c>
      <c r="R20" s="48">
        <v>15520</v>
      </c>
      <c r="S20" s="50">
        <f>(G20/F20)*100</f>
        <v>84.69059173155776</v>
      </c>
      <c r="T20" s="51">
        <f>(H20/G20)*100</f>
        <v>79.553308488759981</v>
      </c>
      <c r="U20" s="51"/>
      <c r="V20" s="73"/>
      <c r="W20" s="53"/>
      <c r="X20" s="54"/>
      <c r="Y20" s="54"/>
      <c r="Z20" s="54"/>
      <c r="AA20" s="54"/>
      <c r="AB20" s="54"/>
      <c r="AC20" s="54"/>
      <c r="AD20" s="54"/>
      <c r="AE20" s="54"/>
      <c r="AF20" s="55"/>
    </row>
    <row r="21" spans="1:32" s="21" customFormat="1" x14ac:dyDescent="0.25">
      <c r="A21" s="41"/>
      <c r="B21" s="42" t="s">
        <v>29</v>
      </c>
      <c r="C21" s="43"/>
      <c r="D21" s="44"/>
      <c r="E21" s="45"/>
      <c r="F21" s="46"/>
      <c r="G21" s="47"/>
      <c r="H21" s="47">
        <v>1818861</v>
      </c>
      <c r="I21" s="48">
        <v>1818713</v>
      </c>
      <c r="J21" s="46">
        <v>1797945</v>
      </c>
      <c r="K21" s="47">
        <v>535612</v>
      </c>
      <c r="L21" s="47">
        <v>222996</v>
      </c>
      <c r="M21" s="49">
        <v>243190</v>
      </c>
      <c r="N21" s="47">
        <v>210670</v>
      </c>
      <c r="O21" s="47">
        <v>268177</v>
      </c>
      <c r="P21" s="47">
        <v>278598</v>
      </c>
      <c r="Q21" s="47">
        <v>23182</v>
      </c>
      <c r="R21" s="48">
        <v>15520</v>
      </c>
      <c r="S21" s="50"/>
      <c r="T21" s="51"/>
      <c r="U21" s="51">
        <f t="shared" ref="U21" si="2">(I21/H21)*100</f>
        <v>99.991863039561565</v>
      </c>
      <c r="V21" s="73">
        <f>(I21/(F19+F20))*100</f>
        <v>68.002007104882082</v>
      </c>
      <c r="W21" s="53"/>
      <c r="X21" s="54"/>
      <c r="Y21" s="54"/>
      <c r="Z21" s="54"/>
      <c r="AA21" s="54"/>
      <c r="AB21" s="54"/>
      <c r="AC21" s="54"/>
      <c r="AD21" s="54"/>
      <c r="AE21" s="54"/>
      <c r="AF21" s="55"/>
    </row>
    <row r="22" spans="1:32" s="21" customFormat="1" x14ac:dyDescent="0.25">
      <c r="A22" s="26">
        <v>20091973</v>
      </c>
      <c r="B22" s="27" t="s">
        <v>14</v>
      </c>
      <c r="C22" s="28" t="s">
        <v>33</v>
      </c>
      <c r="D22" s="29">
        <v>3</v>
      </c>
      <c r="E22" s="30" t="s">
        <v>15</v>
      </c>
      <c r="F22" s="31">
        <v>1135583</v>
      </c>
      <c r="G22" s="32">
        <v>1019788</v>
      </c>
      <c r="H22" s="32">
        <v>824745</v>
      </c>
      <c r="I22" s="33"/>
      <c r="J22" s="31">
        <v>795477</v>
      </c>
      <c r="K22" s="32">
        <v>25843</v>
      </c>
      <c r="L22" s="32">
        <v>334668</v>
      </c>
      <c r="M22" s="34">
        <v>24445</v>
      </c>
      <c r="N22" s="32">
        <v>197562</v>
      </c>
      <c r="O22" s="32">
        <v>31012</v>
      </c>
      <c r="P22" s="32" t="s">
        <v>19</v>
      </c>
      <c r="Q22" s="32">
        <v>181947</v>
      </c>
      <c r="R22" s="33" t="s">
        <v>19</v>
      </c>
      <c r="S22" s="35">
        <f>(G22/F22)*100</f>
        <v>89.803035092987486</v>
      </c>
      <c r="T22" s="36">
        <f>(H22/G22)*100</f>
        <v>80.874162080746189</v>
      </c>
      <c r="U22" s="36"/>
      <c r="V22" s="71"/>
      <c r="W22" s="38" t="s">
        <v>546</v>
      </c>
      <c r="X22" s="39" t="s">
        <v>547</v>
      </c>
      <c r="Y22" s="39" t="s">
        <v>548</v>
      </c>
      <c r="Z22" s="39" t="s">
        <v>549</v>
      </c>
      <c r="AA22" s="39" t="s">
        <v>550</v>
      </c>
      <c r="AB22" s="39" t="s">
        <v>551</v>
      </c>
      <c r="AC22" s="39" t="s">
        <v>552</v>
      </c>
      <c r="AD22" s="39" t="s">
        <v>553</v>
      </c>
      <c r="AE22" s="39" t="s">
        <v>554</v>
      </c>
      <c r="AF22" s="40" t="s">
        <v>555</v>
      </c>
    </row>
    <row r="23" spans="1:32" s="21" customFormat="1" x14ac:dyDescent="0.25">
      <c r="A23" s="26"/>
      <c r="B23" s="27" t="s">
        <v>17</v>
      </c>
      <c r="C23" s="28" t="s">
        <v>33</v>
      </c>
      <c r="D23" s="29">
        <v>3</v>
      </c>
      <c r="E23" s="30" t="s">
        <v>18</v>
      </c>
      <c r="F23" s="31">
        <v>2070345</v>
      </c>
      <c r="G23" s="32">
        <v>1886413</v>
      </c>
      <c r="H23" s="32">
        <v>1508897</v>
      </c>
      <c r="I23" s="33"/>
      <c r="J23" s="31">
        <v>1461385</v>
      </c>
      <c r="K23" s="32">
        <v>415437</v>
      </c>
      <c r="L23" s="32">
        <v>18469</v>
      </c>
      <c r="M23" s="34">
        <v>394423</v>
      </c>
      <c r="N23" s="32">
        <v>77101</v>
      </c>
      <c r="O23" s="32" t="s">
        <v>19</v>
      </c>
      <c r="P23" s="32">
        <v>475943</v>
      </c>
      <c r="Q23" s="32" t="s">
        <v>19</v>
      </c>
      <c r="R23" s="33">
        <v>80010</v>
      </c>
      <c r="S23" s="35">
        <f>(G23/F23)*100</f>
        <v>91.115876822461956</v>
      </c>
      <c r="T23" s="36">
        <f>(H23/G23)*100</f>
        <v>79.987627311728659</v>
      </c>
      <c r="U23" s="36"/>
      <c r="V23" s="71"/>
      <c r="W23" s="38"/>
      <c r="X23" s="39"/>
      <c r="Y23" s="39"/>
      <c r="Z23" s="39"/>
      <c r="AA23" s="39"/>
      <c r="AB23" s="39"/>
      <c r="AC23" s="39"/>
      <c r="AD23" s="39"/>
      <c r="AE23" s="39"/>
      <c r="AF23" s="40"/>
    </row>
    <row r="24" spans="1:32" s="21" customFormat="1" x14ac:dyDescent="0.25">
      <c r="A24" s="26"/>
      <c r="B24" s="27" t="s">
        <v>29</v>
      </c>
      <c r="C24" s="28"/>
      <c r="D24" s="29"/>
      <c r="E24" s="30"/>
      <c r="F24" s="31"/>
      <c r="G24" s="32"/>
      <c r="H24" s="32">
        <v>2333642</v>
      </c>
      <c r="I24" s="33">
        <v>2333536</v>
      </c>
      <c r="J24" s="31">
        <v>2256854</v>
      </c>
      <c r="K24" s="32">
        <v>441280</v>
      </c>
      <c r="L24" s="32">
        <v>353137</v>
      </c>
      <c r="M24" s="34">
        <v>418868</v>
      </c>
      <c r="N24" s="32">
        <v>274662</v>
      </c>
      <c r="O24" s="32">
        <v>31013</v>
      </c>
      <c r="P24" s="32">
        <v>475936</v>
      </c>
      <c r="Q24" s="32">
        <v>181948</v>
      </c>
      <c r="R24" s="33">
        <v>80010</v>
      </c>
      <c r="S24" s="35"/>
      <c r="T24" s="36"/>
      <c r="U24" s="36">
        <f t="shared" ref="U24" si="3">(I24/H24)*100</f>
        <v>99.995457743732757</v>
      </c>
      <c r="V24" s="71">
        <f>(I24/(F22+F23))*100</f>
        <v>72.788159933722767</v>
      </c>
      <c r="W24" s="38"/>
      <c r="X24" s="39"/>
      <c r="Y24" s="39"/>
      <c r="Z24" s="39"/>
      <c r="AA24" s="39"/>
      <c r="AB24" s="39"/>
      <c r="AC24" s="39"/>
      <c r="AD24" s="39"/>
      <c r="AE24" s="39"/>
      <c r="AF24" s="40"/>
    </row>
    <row r="25" spans="1:32" s="21" customFormat="1" x14ac:dyDescent="0.25">
      <c r="A25" s="41">
        <v>20091980</v>
      </c>
      <c r="B25" s="42" t="s">
        <v>14</v>
      </c>
      <c r="C25" s="43" t="s">
        <v>33</v>
      </c>
      <c r="D25" s="44">
        <v>2</v>
      </c>
      <c r="E25" s="45" t="s">
        <v>15</v>
      </c>
      <c r="F25" s="46">
        <f>4000000+31727</f>
        <v>4031727</v>
      </c>
      <c r="G25" s="47">
        <f>3165614+25329</f>
        <v>3190943</v>
      </c>
      <c r="H25" s="47">
        <f>2517169+20316</f>
        <v>2537485</v>
      </c>
      <c r="I25" s="48"/>
      <c r="J25" s="46">
        <v>2518762</v>
      </c>
      <c r="K25" s="47">
        <v>341123</v>
      </c>
      <c r="L25" s="47">
        <v>760327</v>
      </c>
      <c r="M25" s="49">
        <v>268794</v>
      </c>
      <c r="N25" s="47">
        <v>511089</v>
      </c>
      <c r="O25" s="47">
        <v>280621</v>
      </c>
      <c r="P25" s="47" t="s">
        <v>19</v>
      </c>
      <c r="Q25" s="47">
        <v>356808</v>
      </c>
      <c r="R25" s="74" t="s">
        <v>19</v>
      </c>
      <c r="S25" s="50">
        <f>(G25/F25)*100</f>
        <v>79.145810219789198</v>
      </c>
      <c r="T25" s="51">
        <f>(H25/G25)*100</f>
        <v>79.521476880032012</v>
      </c>
      <c r="U25" s="51"/>
      <c r="V25" s="73"/>
      <c r="W25" s="53" t="s">
        <v>556</v>
      </c>
      <c r="X25" s="54" t="s">
        <v>557</v>
      </c>
      <c r="Y25" s="54" t="s">
        <v>558</v>
      </c>
      <c r="Z25" s="54" t="s">
        <v>559</v>
      </c>
      <c r="AA25" s="54" t="s">
        <v>560</v>
      </c>
      <c r="AB25" s="54" t="s">
        <v>561</v>
      </c>
      <c r="AC25" s="54" t="s">
        <v>562</v>
      </c>
      <c r="AD25" s="54" t="s">
        <v>563</v>
      </c>
      <c r="AE25" s="54" t="s">
        <v>564</v>
      </c>
      <c r="AF25" s="55" t="s">
        <v>565</v>
      </c>
    </row>
    <row r="26" spans="1:32" s="21" customFormat="1" x14ac:dyDescent="0.25">
      <c r="A26" s="41"/>
      <c r="B26" s="42" t="s">
        <v>17</v>
      </c>
      <c r="C26" s="43" t="s">
        <v>33</v>
      </c>
      <c r="D26" s="44">
        <v>2</v>
      </c>
      <c r="E26" s="45" t="s">
        <v>18</v>
      </c>
      <c r="F26" s="46">
        <f>4000000+2670880</f>
        <v>6670880</v>
      </c>
      <c r="G26" s="47">
        <f>3234262+2052998</f>
        <v>5287260</v>
      </c>
      <c r="H26" s="47">
        <f>2444212+1548093</f>
        <v>3992305</v>
      </c>
      <c r="I26" s="48"/>
      <c r="J26" s="46">
        <v>3952129</v>
      </c>
      <c r="K26" s="47">
        <v>1043236</v>
      </c>
      <c r="L26" s="47">
        <v>419487</v>
      </c>
      <c r="M26" s="49">
        <v>1351939</v>
      </c>
      <c r="N26" s="47">
        <v>204943</v>
      </c>
      <c r="O26" s="47" t="s">
        <v>19</v>
      </c>
      <c r="P26" s="47">
        <v>931104</v>
      </c>
      <c r="Q26" s="47" t="s">
        <v>19</v>
      </c>
      <c r="R26" s="74" t="s">
        <v>20</v>
      </c>
      <c r="S26" s="50">
        <f>(G26/F26)*100</f>
        <v>79.2588084330703</v>
      </c>
      <c r="T26" s="51">
        <f>(H26/G26)*100</f>
        <v>75.508013602508669</v>
      </c>
      <c r="U26" s="51"/>
      <c r="V26" s="73"/>
      <c r="W26" s="53"/>
      <c r="X26" s="54"/>
      <c r="Y26" s="54"/>
      <c r="Z26" s="54"/>
      <c r="AA26" s="54"/>
      <c r="AB26" s="54"/>
      <c r="AC26" s="54"/>
      <c r="AD26" s="54"/>
      <c r="AE26" s="54"/>
      <c r="AF26" s="55"/>
    </row>
    <row r="27" spans="1:32" s="21" customFormat="1" x14ac:dyDescent="0.25">
      <c r="A27" s="41"/>
      <c r="B27" s="42" t="s">
        <v>29</v>
      </c>
      <c r="C27" s="43"/>
      <c r="D27" s="44"/>
      <c r="E27" s="45"/>
      <c r="F27" s="46"/>
      <c r="G27" s="47"/>
      <c r="H27" s="47">
        <v>6529790</v>
      </c>
      <c r="I27" s="48">
        <v>6529525</v>
      </c>
      <c r="J27" s="46">
        <v>6470700</v>
      </c>
      <c r="K27" s="47">
        <v>1384359</v>
      </c>
      <c r="L27" s="47">
        <v>1179814</v>
      </c>
      <c r="M27" s="49">
        <v>1620733</v>
      </c>
      <c r="N27" s="47">
        <v>715841</v>
      </c>
      <c r="O27" s="47">
        <v>280625</v>
      </c>
      <c r="P27" s="47">
        <v>931104</v>
      </c>
      <c r="Q27" s="47">
        <v>356810</v>
      </c>
      <c r="R27" s="74"/>
      <c r="S27" s="50"/>
      <c r="T27" s="51"/>
      <c r="U27" s="51">
        <f t="shared" ref="U27" si="4">(I27/H27)*100</f>
        <v>99.995941676531714</v>
      </c>
      <c r="V27" s="73">
        <f>(I27/(F25+F26))*100</f>
        <v>61.008733666479579</v>
      </c>
      <c r="W27" s="53"/>
      <c r="X27" s="54"/>
      <c r="Y27" s="54"/>
      <c r="Z27" s="54"/>
      <c r="AA27" s="54"/>
      <c r="AB27" s="54"/>
      <c r="AC27" s="54"/>
      <c r="AD27" s="54"/>
      <c r="AE27" s="54"/>
      <c r="AF27" s="55"/>
    </row>
    <row r="28" spans="1:32" s="21" customFormat="1" x14ac:dyDescent="0.25">
      <c r="A28" s="26">
        <v>20090892</v>
      </c>
      <c r="B28" s="27" t="s">
        <v>14</v>
      </c>
      <c r="C28" s="28" t="s">
        <v>33</v>
      </c>
      <c r="D28" s="29">
        <v>3</v>
      </c>
      <c r="E28" s="30" t="s">
        <v>21</v>
      </c>
      <c r="F28" s="31">
        <v>1806706</v>
      </c>
      <c r="G28" s="32">
        <v>1646956</v>
      </c>
      <c r="H28" s="32">
        <v>1372881</v>
      </c>
      <c r="I28" s="33"/>
      <c r="J28" s="31">
        <v>1368918</v>
      </c>
      <c r="K28" s="32">
        <v>122810</v>
      </c>
      <c r="L28" s="32">
        <v>598946</v>
      </c>
      <c r="M28" s="34">
        <v>84510</v>
      </c>
      <c r="N28" s="32">
        <v>253092</v>
      </c>
      <c r="O28" s="32">
        <v>126848</v>
      </c>
      <c r="P28" s="32" t="s">
        <v>19</v>
      </c>
      <c r="Q28" s="32">
        <v>182712</v>
      </c>
      <c r="R28" s="33" t="s">
        <v>19</v>
      </c>
      <c r="S28" s="35">
        <f>(G28/F28)*100</f>
        <v>91.157941579869657</v>
      </c>
      <c r="T28" s="36">
        <f>(H28/G28)*100</f>
        <v>83.35869324985002</v>
      </c>
      <c r="U28" s="36"/>
      <c r="V28" s="71"/>
      <c r="W28" s="38" t="s">
        <v>486</v>
      </c>
      <c r="X28" s="39" t="s">
        <v>487</v>
      </c>
      <c r="Y28" s="39" t="s">
        <v>488</v>
      </c>
      <c r="Z28" s="39" t="s">
        <v>489</v>
      </c>
      <c r="AA28" s="39" t="s">
        <v>490</v>
      </c>
      <c r="AB28" s="39" t="s">
        <v>491</v>
      </c>
      <c r="AC28" s="39" t="s">
        <v>492</v>
      </c>
      <c r="AD28" s="39" t="s">
        <v>493</v>
      </c>
      <c r="AE28" s="39" t="s">
        <v>494</v>
      </c>
      <c r="AF28" s="40" t="s">
        <v>495</v>
      </c>
    </row>
    <row r="29" spans="1:32" s="21" customFormat="1" x14ac:dyDescent="0.25">
      <c r="A29" s="26"/>
      <c r="B29" s="27" t="s">
        <v>17</v>
      </c>
      <c r="C29" s="28" t="s">
        <v>33</v>
      </c>
      <c r="D29" s="29">
        <v>3</v>
      </c>
      <c r="E29" s="30" t="s">
        <v>22</v>
      </c>
      <c r="F29" s="31">
        <v>776349</v>
      </c>
      <c r="G29" s="32">
        <v>702127</v>
      </c>
      <c r="H29" s="32">
        <v>557760</v>
      </c>
      <c r="I29" s="33"/>
      <c r="J29" s="31">
        <v>557038</v>
      </c>
      <c r="K29" s="32">
        <v>134472</v>
      </c>
      <c r="L29" s="32">
        <v>74099</v>
      </c>
      <c r="M29" s="34">
        <v>20239</v>
      </c>
      <c r="N29" s="32">
        <v>114391</v>
      </c>
      <c r="O29" s="32" t="s">
        <v>19</v>
      </c>
      <c r="P29" s="32">
        <v>177507</v>
      </c>
      <c r="Q29" s="32" t="s">
        <v>19</v>
      </c>
      <c r="R29" s="33">
        <v>36330</v>
      </c>
      <c r="S29" s="35">
        <f>(G29/F29)*100</f>
        <v>90.439608990286587</v>
      </c>
      <c r="T29" s="36">
        <f>(H29/G29)*100</f>
        <v>79.438620078703721</v>
      </c>
      <c r="U29" s="36"/>
      <c r="V29" s="71"/>
      <c r="W29" s="38"/>
      <c r="X29" s="39"/>
      <c r="Y29" s="39"/>
      <c r="Z29" s="39"/>
      <c r="AA29" s="39"/>
      <c r="AB29" s="39"/>
      <c r="AC29" s="39"/>
      <c r="AD29" s="39"/>
      <c r="AE29" s="39"/>
      <c r="AF29" s="40"/>
    </row>
    <row r="30" spans="1:32" s="21" customFormat="1" x14ac:dyDescent="0.25">
      <c r="A30" s="26"/>
      <c r="B30" s="27" t="s">
        <v>29</v>
      </c>
      <c r="C30" s="28"/>
      <c r="D30" s="29"/>
      <c r="E30" s="30"/>
      <c r="F30" s="31"/>
      <c r="G30" s="32"/>
      <c r="H30" s="32">
        <v>1930641</v>
      </c>
      <c r="I30" s="33">
        <v>1930616</v>
      </c>
      <c r="J30" s="31">
        <v>1925952</v>
      </c>
      <c r="K30" s="32">
        <v>257281</v>
      </c>
      <c r="L30" s="32">
        <v>673044</v>
      </c>
      <c r="M30" s="34">
        <v>104749</v>
      </c>
      <c r="N30" s="32">
        <v>367483</v>
      </c>
      <c r="O30" s="32">
        <v>126848</v>
      </c>
      <c r="P30" s="32">
        <v>177505</v>
      </c>
      <c r="Q30" s="32">
        <v>182712</v>
      </c>
      <c r="R30" s="33">
        <v>36330</v>
      </c>
      <c r="S30" s="35"/>
      <c r="T30" s="36"/>
      <c r="U30" s="36">
        <f t="shared" ref="U30" si="5">(I30/H30)*100</f>
        <v>99.998705093282496</v>
      </c>
      <c r="V30" s="71">
        <f>(I30/(F28+F29))*100</f>
        <v>74.741575382638004</v>
      </c>
      <c r="W30" s="38"/>
      <c r="X30" s="39"/>
      <c r="Y30" s="39"/>
      <c r="Z30" s="39"/>
      <c r="AA30" s="39"/>
      <c r="AB30" s="39"/>
      <c r="AC30" s="39"/>
      <c r="AD30" s="39"/>
      <c r="AE30" s="39"/>
      <c r="AF30" s="40"/>
    </row>
    <row r="31" spans="1:32" s="21" customFormat="1" x14ac:dyDescent="0.25">
      <c r="A31" s="41">
        <v>20091981</v>
      </c>
      <c r="B31" s="42" t="s">
        <v>14</v>
      </c>
      <c r="C31" s="43" t="s">
        <v>33</v>
      </c>
      <c r="D31" s="44">
        <v>2</v>
      </c>
      <c r="E31" s="45" t="s">
        <v>27</v>
      </c>
      <c r="F31" s="46">
        <f>4000000+1664456</f>
        <v>5664456</v>
      </c>
      <c r="G31" s="47">
        <f>3185203+1319657</f>
        <v>4504860</v>
      </c>
      <c r="H31" s="47">
        <f>2360609+978169</f>
        <v>3338778</v>
      </c>
      <c r="I31" s="48"/>
      <c r="J31" s="46">
        <v>3328635</v>
      </c>
      <c r="K31" s="47">
        <v>549227</v>
      </c>
      <c r="L31" s="47">
        <v>825808</v>
      </c>
      <c r="M31" s="49">
        <v>594143</v>
      </c>
      <c r="N31" s="47">
        <v>482314</v>
      </c>
      <c r="O31" s="47">
        <v>537036</v>
      </c>
      <c r="P31" s="47" t="s">
        <v>19</v>
      </c>
      <c r="Q31" s="47">
        <v>340107</v>
      </c>
      <c r="R31" s="48" t="s">
        <v>19</v>
      </c>
      <c r="S31" s="50">
        <f>(G31/F31)*100</f>
        <v>79.528554904478028</v>
      </c>
      <c r="T31" s="51">
        <f>(H31/G31)*100</f>
        <v>74.115022442428852</v>
      </c>
      <c r="U31" s="51"/>
      <c r="V31" s="73"/>
      <c r="W31" s="53" t="s">
        <v>566</v>
      </c>
      <c r="X31" s="54" t="s">
        <v>567</v>
      </c>
      <c r="Y31" s="54" t="s">
        <v>568</v>
      </c>
      <c r="Z31" s="54" t="s">
        <v>569</v>
      </c>
      <c r="AA31" s="54" t="s">
        <v>570</v>
      </c>
      <c r="AB31" s="54" t="s">
        <v>571</v>
      </c>
      <c r="AC31" s="54" t="s">
        <v>572</v>
      </c>
      <c r="AD31" s="54" t="s">
        <v>573</v>
      </c>
      <c r="AE31" s="54" t="s">
        <v>574</v>
      </c>
      <c r="AF31" s="55" t="s">
        <v>575</v>
      </c>
    </row>
    <row r="32" spans="1:32" s="21" customFormat="1" x14ac:dyDescent="0.25">
      <c r="A32" s="41"/>
      <c r="B32" s="42" t="s">
        <v>17</v>
      </c>
      <c r="C32" s="43" t="s">
        <v>33</v>
      </c>
      <c r="D32" s="44">
        <v>2</v>
      </c>
      <c r="E32" s="45" t="s">
        <v>28</v>
      </c>
      <c r="F32" s="46">
        <f>4000000+2003042</f>
        <v>6003042</v>
      </c>
      <c r="G32" s="47">
        <f>3212061+1594236</f>
        <v>4806297</v>
      </c>
      <c r="H32" s="47">
        <f>2393537+1189376</f>
        <v>3582913</v>
      </c>
      <c r="I32" s="48"/>
      <c r="J32" s="46">
        <v>3567892</v>
      </c>
      <c r="K32" s="47">
        <v>787495</v>
      </c>
      <c r="L32" s="47">
        <v>550116</v>
      </c>
      <c r="M32" s="49">
        <v>512208</v>
      </c>
      <c r="N32" s="47">
        <v>513834</v>
      </c>
      <c r="O32" s="47" t="s">
        <v>19</v>
      </c>
      <c r="P32" s="47">
        <v>888425</v>
      </c>
      <c r="Q32" s="47" t="s">
        <v>19</v>
      </c>
      <c r="R32" s="48">
        <v>315813</v>
      </c>
      <c r="S32" s="50">
        <f>(G32/F32)*100</f>
        <v>80.064357370812999</v>
      </c>
      <c r="T32" s="51">
        <f>(H32/G32)*100</f>
        <v>74.546225503750591</v>
      </c>
      <c r="U32" s="51"/>
      <c r="V32" s="73"/>
      <c r="W32" s="53"/>
      <c r="X32" s="54"/>
      <c r="Y32" s="54"/>
      <c r="Z32" s="54"/>
      <c r="AA32" s="54"/>
      <c r="AB32" s="54"/>
      <c r="AC32" s="54"/>
      <c r="AD32" s="54"/>
      <c r="AE32" s="54"/>
      <c r="AF32" s="55"/>
    </row>
    <row r="33" spans="1:32" s="21" customFormat="1" x14ac:dyDescent="0.25">
      <c r="A33" s="41"/>
      <c r="B33" s="42" t="s">
        <v>29</v>
      </c>
      <c r="C33" s="43"/>
      <c r="D33" s="44"/>
      <c r="E33" s="45"/>
      <c r="F33" s="46"/>
      <c r="G33" s="47"/>
      <c r="H33" s="47">
        <v>6921691</v>
      </c>
      <c r="I33" s="48">
        <v>6921658</v>
      </c>
      <c r="J33" s="46">
        <v>6896527</v>
      </c>
      <c r="K33" s="47">
        <v>1336722</v>
      </c>
      <c r="L33" s="47">
        <v>1375924</v>
      </c>
      <c r="M33" s="49">
        <v>1106351</v>
      </c>
      <c r="N33" s="47">
        <v>996148</v>
      </c>
      <c r="O33" s="47">
        <v>537037</v>
      </c>
      <c r="P33" s="47">
        <v>888425</v>
      </c>
      <c r="Q33" s="47">
        <v>340107</v>
      </c>
      <c r="R33" s="48">
        <v>315813</v>
      </c>
      <c r="S33" s="50"/>
      <c r="T33" s="51"/>
      <c r="U33" s="51">
        <f t="shared" ref="U33" si="6">(I33/H33)*100</f>
        <v>99.999523237890855</v>
      </c>
      <c r="V33" s="73">
        <f>(I33/(F31+F32))*100</f>
        <v>59.324269864884485</v>
      </c>
      <c r="W33" s="53"/>
      <c r="X33" s="54"/>
      <c r="Y33" s="54"/>
      <c r="Z33" s="54"/>
      <c r="AA33" s="54"/>
      <c r="AB33" s="54"/>
      <c r="AC33" s="54"/>
      <c r="AD33" s="54"/>
      <c r="AE33" s="54"/>
      <c r="AF33" s="55"/>
    </row>
    <row r="34" spans="1:32" s="21" customFormat="1" x14ac:dyDescent="0.25">
      <c r="A34" s="26">
        <v>20091983</v>
      </c>
      <c r="B34" s="27" t="s">
        <v>14</v>
      </c>
      <c r="C34" s="28" t="s">
        <v>33</v>
      </c>
      <c r="D34" s="29">
        <v>1</v>
      </c>
      <c r="E34" s="30" t="s">
        <v>27</v>
      </c>
      <c r="F34" s="31">
        <v>1486874</v>
      </c>
      <c r="G34" s="32">
        <v>1327795</v>
      </c>
      <c r="H34" s="32">
        <v>1027669</v>
      </c>
      <c r="I34" s="33"/>
      <c r="J34" s="31">
        <v>1024178</v>
      </c>
      <c r="K34" s="32">
        <v>156907</v>
      </c>
      <c r="L34" s="32">
        <v>217493</v>
      </c>
      <c r="M34" s="34">
        <v>190022</v>
      </c>
      <c r="N34" s="32">
        <v>143396</v>
      </c>
      <c r="O34" s="32">
        <v>181583</v>
      </c>
      <c r="P34" s="32" t="s">
        <v>19</v>
      </c>
      <c r="Q34" s="32">
        <v>134777</v>
      </c>
      <c r="R34" s="33" t="s">
        <v>19</v>
      </c>
      <c r="S34" s="35">
        <f>(G34/F34)*100</f>
        <v>89.301110921302012</v>
      </c>
      <c r="T34" s="36">
        <f>(H34/G34)*100</f>
        <v>77.396661382216379</v>
      </c>
      <c r="U34" s="36"/>
      <c r="V34" s="71"/>
      <c r="W34" s="38" t="s">
        <v>576</v>
      </c>
      <c r="X34" s="39" t="s">
        <v>577</v>
      </c>
      <c r="Y34" s="39" t="s">
        <v>578</v>
      </c>
      <c r="Z34" s="39" t="s">
        <v>579</v>
      </c>
      <c r="AA34" s="39" t="s">
        <v>580</v>
      </c>
      <c r="AB34" s="39" t="s">
        <v>581</v>
      </c>
      <c r="AC34" s="39" t="s">
        <v>582</v>
      </c>
      <c r="AD34" s="39" t="s">
        <v>583</v>
      </c>
      <c r="AE34" s="39" t="s">
        <v>584</v>
      </c>
      <c r="AF34" s="40" t="s">
        <v>585</v>
      </c>
    </row>
    <row r="35" spans="1:32" s="21" customFormat="1" x14ac:dyDescent="0.25">
      <c r="A35" s="26"/>
      <c r="B35" s="27" t="s">
        <v>17</v>
      </c>
      <c r="C35" s="28" t="s">
        <v>33</v>
      </c>
      <c r="D35" s="29">
        <v>1</v>
      </c>
      <c r="E35" s="30" t="s">
        <v>28</v>
      </c>
      <c r="F35" s="31">
        <f>4000000+1614008</f>
        <v>5614008</v>
      </c>
      <c r="G35" s="32">
        <f>3634879+1359618</f>
        <v>4994497</v>
      </c>
      <c r="H35" s="32">
        <f>2757296+1033332</f>
        <v>3790628</v>
      </c>
      <c r="I35" s="33"/>
      <c r="J35" s="31">
        <v>3774970</v>
      </c>
      <c r="K35" s="32">
        <v>1059700</v>
      </c>
      <c r="L35" s="32">
        <v>270111</v>
      </c>
      <c r="M35" s="34">
        <v>834642</v>
      </c>
      <c r="N35" s="32">
        <v>160788</v>
      </c>
      <c r="O35" s="32" t="s">
        <v>19</v>
      </c>
      <c r="P35" s="32">
        <v>1322056</v>
      </c>
      <c r="Q35" s="32" t="s">
        <v>19</v>
      </c>
      <c r="R35" s="33">
        <v>127672</v>
      </c>
      <c r="S35" s="35">
        <f>(G35/F35)*100</f>
        <v>88.964907068176601</v>
      </c>
      <c r="T35" s="36">
        <f>(H35/G35)*100</f>
        <v>75.896091238016567</v>
      </c>
      <c r="U35" s="36"/>
      <c r="V35" s="71"/>
      <c r="W35" s="38"/>
      <c r="X35" s="39"/>
      <c r="Y35" s="39"/>
      <c r="Z35" s="39"/>
      <c r="AA35" s="39"/>
      <c r="AB35" s="39"/>
      <c r="AC35" s="39"/>
      <c r="AD35" s="39"/>
      <c r="AE35" s="39"/>
      <c r="AF35" s="40"/>
    </row>
    <row r="36" spans="1:32" s="21" customFormat="1" x14ac:dyDescent="0.25">
      <c r="A36" s="26"/>
      <c r="B36" s="27" t="s">
        <v>29</v>
      </c>
      <c r="C36" s="28"/>
      <c r="D36" s="29"/>
      <c r="E36" s="30"/>
      <c r="F36" s="31"/>
      <c r="G36" s="32"/>
      <c r="H36" s="32">
        <v>4818297</v>
      </c>
      <c r="I36" s="33">
        <v>4818268</v>
      </c>
      <c r="J36" s="31">
        <v>4799130</v>
      </c>
      <c r="K36" s="32">
        <v>1216604</v>
      </c>
      <c r="L36" s="32">
        <v>487604</v>
      </c>
      <c r="M36" s="34">
        <v>1024655</v>
      </c>
      <c r="N36" s="32">
        <v>304184</v>
      </c>
      <c r="O36" s="32">
        <v>181584</v>
      </c>
      <c r="P36" s="32">
        <v>1322051</v>
      </c>
      <c r="Q36" s="32">
        <v>134777</v>
      </c>
      <c r="R36" s="33">
        <v>127671</v>
      </c>
      <c r="S36" s="35"/>
      <c r="T36" s="36"/>
      <c r="U36" s="36">
        <f t="shared" ref="U36" si="7">(I36/H36)*100</f>
        <v>99.999398127595711</v>
      </c>
      <c r="V36" s="71">
        <f>(I36/(F34+F35))*100</f>
        <v>67.854500328269083</v>
      </c>
      <c r="W36" s="38"/>
      <c r="X36" s="39"/>
      <c r="Y36" s="39"/>
      <c r="Z36" s="39"/>
      <c r="AA36" s="39"/>
      <c r="AB36" s="39"/>
      <c r="AC36" s="39"/>
      <c r="AD36" s="39"/>
      <c r="AE36" s="39"/>
      <c r="AF36" s="40"/>
    </row>
    <row r="37" spans="1:32" s="21" customFormat="1" x14ac:dyDescent="0.25">
      <c r="A37" s="41">
        <v>20090965</v>
      </c>
      <c r="B37" s="42" t="s">
        <v>14</v>
      </c>
      <c r="C37" s="43" t="s">
        <v>33</v>
      </c>
      <c r="D37" s="44">
        <v>2</v>
      </c>
      <c r="E37" s="45" t="s">
        <v>21</v>
      </c>
      <c r="F37" s="46">
        <v>1591948</v>
      </c>
      <c r="G37" s="47">
        <v>1264329</v>
      </c>
      <c r="H37" s="47">
        <v>1022982</v>
      </c>
      <c r="I37" s="48"/>
      <c r="J37" s="46">
        <v>1021693</v>
      </c>
      <c r="K37" s="47">
        <v>90703</v>
      </c>
      <c r="L37" s="47">
        <v>511876</v>
      </c>
      <c r="M37" s="49">
        <v>92014</v>
      </c>
      <c r="N37" s="47">
        <v>145513</v>
      </c>
      <c r="O37" s="47">
        <v>141290</v>
      </c>
      <c r="P37" s="47" t="s">
        <v>19</v>
      </c>
      <c r="Q37" s="47">
        <v>40297</v>
      </c>
      <c r="R37" s="48" t="s">
        <v>19</v>
      </c>
      <c r="S37" s="50">
        <f>(G37/F37)*100</f>
        <v>79.420244882370525</v>
      </c>
      <c r="T37" s="51">
        <f>(H37/G37)*100</f>
        <v>80.911060333188587</v>
      </c>
      <c r="U37" s="51"/>
      <c r="V37" s="73"/>
      <c r="W37" s="53" t="s">
        <v>496</v>
      </c>
      <c r="X37" s="54" t="s">
        <v>497</v>
      </c>
      <c r="Y37" s="54" t="s">
        <v>498</v>
      </c>
      <c r="Z37" s="54" t="s">
        <v>499</v>
      </c>
      <c r="AA37" s="54" t="s">
        <v>500</v>
      </c>
      <c r="AB37" s="54" t="s">
        <v>501</v>
      </c>
      <c r="AC37" s="54" t="s">
        <v>502</v>
      </c>
      <c r="AD37" s="54" t="s">
        <v>503</v>
      </c>
      <c r="AE37" s="54" t="s">
        <v>504</v>
      </c>
      <c r="AF37" s="55" t="s">
        <v>505</v>
      </c>
    </row>
    <row r="38" spans="1:32" s="21" customFormat="1" x14ac:dyDescent="0.25">
      <c r="A38" s="41"/>
      <c r="B38" s="42" t="s">
        <v>17</v>
      </c>
      <c r="C38" s="43" t="s">
        <v>33</v>
      </c>
      <c r="D38" s="44">
        <v>2</v>
      </c>
      <c r="E38" s="45" t="s">
        <v>22</v>
      </c>
      <c r="F38" s="46">
        <v>2017199</v>
      </c>
      <c r="G38" s="47">
        <v>1604418</v>
      </c>
      <c r="H38" s="47">
        <v>1276876</v>
      </c>
      <c r="I38" s="48"/>
      <c r="J38" s="46">
        <v>1274687</v>
      </c>
      <c r="K38" s="47">
        <v>311921</v>
      </c>
      <c r="L38" s="47">
        <v>124645</v>
      </c>
      <c r="M38" s="49">
        <v>118696</v>
      </c>
      <c r="N38" s="47">
        <v>257885</v>
      </c>
      <c r="O38" s="47" t="s">
        <v>19</v>
      </c>
      <c r="P38" s="47">
        <v>349890</v>
      </c>
      <c r="Q38" s="47" t="s">
        <v>19</v>
      </c>
      <c r="R38" s="48">
        <v>111650</v>
      </c>
      <c r="S38" s="50">
        <f>(G38/F38)*100</f>
        <v>79.53692223722102</v>
      </c>
      <c r="T38" s="51">
        <f>(H38/G38)*100</f>
        <v>79.584995929988324</v>
      </c>
      <c r="U38" s="51"/>
      <c r="V38" s="73"/>
      <c r="W38" s="53"/>
      <c r="X38" s="54"/>
      <c r="Y38" s="54"/>
      <c r="Z38" s="54"/>
      <c r="AA38" s="54"/>
      <c r="AB38" s="54"/>
      <c r="AC38" s="54"/>
      <c r="AD38" s="54"/>
      <c r="AE38" s="54"/>
      <c r="AF38" s="55"/>
    </row>
    <row r="39" spans="1:32" s="21" customFormat="1" x14ac:dyDescent="0.25">
      <c r="A39" s="41"/>
      <c r="B39" s="42" t="s">
        <v>29</v>
      </c>
      <c r="C39" s="43"/>
      <c r="D39" s="44"/>
      <c r="E39" s="45"/>
      <c r="F39" s="46"/>
      <c r="G39" s="47"/>
      <c r="H39" s="47">
        <v>2299858</v>
      </c>
      <c r="I39" s="48">
        <v>2299825</v>
      </c>
      <c r="J39" s="46">
        <v>2296373</v>
      </c>
      <c r="K39" s="47">
        <v>402624</v>
      </c>
      <c r="L39" s="47">
        <v>636520</v>
      </c>
      <c r="M39" s="49">
        <v>210708</v>
      </c>
      <c r="N39" s="47">
        <v>403396</v>
      </c>
      <c r="O39" s="47">
        <v>141290</v>
      </c>
      <c r="P39" s="47">
        <v>349888</v>
      </c>
      <c r="Q39" s="47">
        <v>40297</v>
      </c>
      <c r="R39" s="48">
        <v>111650</v>
      </c>
      <c r="S39" s="50"/>
      <c r="T39" s="51"/>
      <c r="U39" s="51">
        <f t="shared" ref="U39" si="8">(I39/H39)*100</f>
        <v>99.998565128803605</v>
      </c>
      <c r="V39" s="73">
        <f>(I39/(F37+F38))*100</f>
        <v>63.722120489966194</v>
      </c>
      <c r="W39" s="53"/>
      <c r="X39" s="54"/>
      <c r="Y39" s="54"/>
      <c r="Z39" s="54"/>
      <c r="AA39" s="54"/>
      <c r="AB39" s="54"/>
      <c r="AC39" s="54"/>
      <c r="AD39" s="54"/>
      <c r="AE39" s="54"/>
      <c r="AF39" s="55"/>
    </row>
    <row r="40" spans="1:32" s="21" customFormat="1" x14ac:dyDescent="0.25">
      <c r="A40" s="26">
        <v>20091068</v>
      </c>
      <c r="B40" s="27" t="s">
        <v>14</v>
      </c>
      <c r="C40" s="28" t="s">
        <v>33</v>
      </c>
      <c r="D40" s="29">
        <v>1</v>
      </c>
      <c r="E40" s="30" t="s">
        <v>23</v>
      </c>
      <c r="F40" s="31">
        <v>1910362</v>
      </c>
      <c r="G40" s="32">
        <v>1655133</v>
      </c>
      <c r="H40" s="32">
        <v>1335500</v>
      </c>
      <c r="I40" s="33"/>
      <c r="J40" s="31">
        <v>1322549</v>
      </c>
      <c r="K40" s="32">
        <v>370002</v>
      </c>
      <c r="L40" s="32">
        <v>156276</v>
      </c>
      <c r="M40" s="34">
        <v>229711</v>
      </c>
      <c r="N40" s="32">
        <v>88612</v>
      </c>
      <c r="O40" s="32">
        <v>423451</v>
      </c>
      <c r="P40" s="32" t="s">
        <v>19</v>
      </c>
      <c r="Q40" s="32">
        <v>54497</v>
      </c>
      <c r="R40" s="33" t="s">
        <v>19</v>
      </c>
      <c r="S40" s="35">
        <f>(G40/F40)*100</f>
        <v>86.639757281604219</v>
      </c>
      <c r="T40" s="36">
        <f>(H40/G40)*100</f>
        <v>80.68837972537554</v>
      </c>
      <c r="U40" s="36"/>
      <c r="V40" s="71"/>
      <c r="W40" s="38" t="s">
        <v>506</v>
      </c>
      <c r="X40" s="39" t="s">
        <v>507</v>
      </c>
      <c r="Y40" s="39" t="s">
        <v>508</v>
      </c>
      <c r="Z40" s="39" t="s">
        <v>509</v>
      </c>
      <c r="AA40" s="39" t="s">
        <v>510</v>
      </c>
      <c r="AB40" s="39" t="s">
        <v>511</v>
      </c>
      <c r="AC40" s="39" t="s">
        <v>512</v>
      </c>
      <c r="AD40" s="39" t="s">
        <v>513</v>
      </c>
      <c r="AE40" s="39" t="s">
        <v>514</v>
      </c>
      <c r="AF40" s="40" t="s">
        <v>515</v>
      </c>
    </row>
    <row r="41" spans="1:32" s="21" customFormat="1" x14ac:dyDescent="0.25">
      <c r="A41" s="26"/>
      <c r="B41" s="27" t="s">
        <v>17</v>
      </c>
      <c r="C41" s="28" t="s">
        <v>33</v>
      </c>
      <c r="D41" s="29">
        <v>1</v>
      </c>
      <c r="E41" s="30" t="s">
        <v>24</v>
      </c>
      <c r="F41" s="31">
        <v>1389795</v>
      </c>
      <c r="G41" s="32">
        <v>1223458</v>
      </c>
      <c r="H41" s="32">
        <v>958931</v>
      </c>
      <c r="I41" s="33"/>
      <c r="J41" s="31">
        <v>937898</v>
      </c>
      <c r="K41" s="32">
        <v>63340</v>
      </c>
      <c r="L41" s="32">
        <v>199135</v>
      </c>
      <c r="M41" s="34">
        <v>71401</v>
      </c>
      <c r="N41" s="32">
        <v>404387</v>
      </c>
      <c r="O41" s="32" t="s">
        <v>19</v>
      </c>
      <c r="P41" s="32">
        <v>58124</v>
      </c>
      <c r="Q41" s="32" t="s">
        <v>19</v>
      </c>
      <c r="R41" s="33">
        <v>141506</v>
      </c>
      <c r="S41" s="35">
        <f>(G41/F41)*100</f>
        <v>88.031544220550515</v>
      </c>
      <c r="T41" s="36">
        <f>(H41/G41)*100</f>
        <v>78.378742874704315</v>
      </c>
      <c r="U41" s="36"/>
      <c r="V41" s="71"/>
      <c r="W41" s="38"/>
      <c r="X41" s="39"/>
      <c r="Y41" s="39"/>
      <c r="Z41" s="39"/>
      <c r="AA41" s="39"/>
      <c r="AB41" s="39"/>
      <c r="AC41" s="39"/>
      <c r="AD41" s="39"/>
      <c r="AE41" s="39"/>
      <c r="AF41" s="40"/>
    </row>
    <row r="42" spans="1:32" s="21" customFormat="1" x14ac:dyDescent="0.25">
      <c r="A42" s="26"/>
      <c r="B42" s="27" t="s">
        <v>29</v>
      </c>
      <c r="C42" s="28"/>
      <c r="D42" s="29"/>
      <c r="E42" s="30"/>
      <c r="F42" s="31"/>
      <c r="G42" s="32"/>
      <c r="H42" s="32">
        <v>2294431</v>
      </c>
      <c r="I42" s="33">
        <v>2294164</v>
      </c>
      <c r="J42" s="31">
        <v>2260426</v>
      </c>
      <c r="K42" s="32">
        <v>433338</v>
      </c>
      <c r="L42" s="32">
        <v>355411</v>
      </c>
      <c r="M42" s="34">
        <v>301109</v>
      </c>
      <c r="N42" s="32">
        <v>492993</v>
      </c>
      <c r="O42" s="32">
        <v>423454</v>
      </c>
      <c r="P42" s="32">
        <v>58118</v>
      </c>
      <c r="Q42" s="32">
        <v>54499</v>
      </c>
      <c r="R42" s="33">
        <v>141504</v>
      </c>
      <c r="S42" s="35"/>
      <c r="T42" s="36"/>
      <c r="U42" s="36">
        <f t="shared" ref="U42" si="9">(I42/H42)*100</f>
        <v>99.988363127938911</v>
      </c>
      <c r="V42" s="71">
        <f>(I42/(F40+F41))*100</f>
        <v>69.516813897035817</v>
      </c>
      <c r="W42" s="38"/>
      <c r="X42" s="39"/>
      <c r="Y42" s="39"/>
      <c r="Z42" s="39"/>
      <c r="AA42" s="39"/>
      <c r="AB42" s="39"/>
      <c r="AC42" s="39"/>
      <c r="AD42" s="39"/>
      <c r="AE42" s="39"/>
      <c r="AF42" s="40"/>
    </row>
    <row r="43" spans="1:32" s="21" customFormat="1" x14ac:dyDescent="0.25">
      <c r="A43" s="41">
        <v>20091069</v>
      </c>
      <c r="B43" s="42" t="s">
        <v>14</v>
      </c>
      <c r="C43" s="43" t="s">
        <v>33</v>
      </c>
      <c r="D43" s="44">
        <v>8</v>
      </c>
      <c r="E43" s="45" t="s">
        <v>15</v>
      </c>
      <c r="F43" s="46">
        <v>3574280</v>
      </c>
      <c r="G43" s="47">
        <v>3160795</v>
      </c>
      <c r="H43" s="47">
        <v>2544642</v>
      </c>
      <c r="I43" s="48"/>
      <c r="J43" s="46">
        <v>2541987</v>
      </c>
      <c r="K43" s="47">
        <v>245744</v>
      </c>
      <c r="L43" s="47">
        <v>872798</v>
      </c>
      <c r="M43" s="49">
        <v>141976</v>
      </c>
      <c r="N43" s="47">
        <v>512401</v>
      </c>
      <c r="O43" s="47">
        <v>215314</v>
      </c>
      <c r="P43" s="44" t="s">
        <v>19</v>
      </c>
      <c r="Q43" s="47">
        <v>553754</v>
      </c>
      <c r="R43" s="45" t="s">
        <v>19</v>
      </c>
      <c r="S43" s="50">
        <f>(G43/F43)*100</f>
        <v>88.431656165717285</v>
      </c>
      <c r="T43" s="51">
        <f>(H43/G43)*100</f>
        <v>80.506391588192216</v>
      </c>
      <c r="U43" s="51"/>
      <c r="V43" s="73"/>
      <c r="W43" s="53" t="s">
        <v>516</v>
      </c>
      <c r="X43" s="54" t="s">
        <v>517</v>
      </c>
      <c r="Y43" s="54" t="s">
        <v>518</v>
      </c>
      <c r="Z43" s="54" t="s">
        <v>519</v>
      </c>
      <c r="AA43" s="54" t="s">
        <v>520</v>
      </c>
      <c r="AB43" s="54" t="s">
        <v>521</v>
      </c>
      <c r="AC43" s="54" t="s">
        <v>522</v>
      </c>
      <c r="AD43" s="54" t="s">
        <v>523</v>
      </c>
      <c r="AE43" s="54" t="s">
        <v>524</v>
      </c>
      <c r="AF43" s="55" t="s">
        <v>525</v>
      </c>
    </row>
    <row r="44" spans="1:32" s="21" customFormat="1" x14ac:dyDescent="0.25">
      <c r="A44" s="41"/>
      <c r="B44" s="42" t="s">
        <v>17</v>
      </c>
      <c r="C44" s="43" t="s">
        <v>33</v>
      </c>
      <c r="D44" s="44">
        <v>8</v>
      </c>
      <c r="E44" s="45" t="s">
        <v>18</v>
      </c>
      <c r="F44" s="46">
        <v>1867897</v>
      </c>
      <c r="G44" s="47">
        <v>1636415</v>
      </c>
      <c r="H44" s="47">
        <v>1338213</v>
      </c>
      <c r="I44" s="48"/>
      <c r="J44" s="46">
        <v>1321872</v>
      </c>
      <c r="K44" s="47">
        <v>366387</v>
      </c>
      <c r="L44" s="47">
        <v>97515</v>
      </c>
      <c r="M44" s="49">
        <v>221610</v>
      </c>
      <c r="N44" s="47">
        <v>99512</v>
      </c>
      <c r="O44" s="44" t="s">
        <v>19</v>
      </c>
      <c r="P44" s="47">
        <v>498277</v>
      </c>
      <c r="Q44" s="44" t="s">
        <v>19</v>
      </c>
      <c r="R44" s="48">
        <v>38570</v>
      </c>
      <c r="S44" s="50">
        <f>(G44/F44)*100</f>
        <v>87.60734665776539</v>
      </c>
      <c r="T44" s="51">
        <f>(H44/G44)*100</f>
        <v>81.777116440511733</v>
      </c>
      <c r="U44" s="51"/>
      <c r="V44" s="73"/>
      <c r="W44" s="53"/>
      <c r="X44" s="54"/>
      <c r="Y44" s="54"/>
      <c r="Z44" s="54"/>
      <c r="AA44" s="54"/>
      <c r="AB44" s="54"/>
      <c r="AC44" s="54"/>
      <c r="AD44" s="54"/>
      <c r="AE44" s="54"/>
      <c r="AF44" s="55"/>
    </row>
    <row r="45" spans="1:32" s="21" customFormat="1" x14ac:dyDescent="0.25">
      <c r="A45" s="41"/>
      <c r="B45" s="42" t="s">
        <v>29</v>
      </c>
      <c r="C45" s="43"/>
      <c r="D45" s="44"/>
      <c r="E45" s="45"/>
      <c r="F45" s="46"/>
      <c r="G45" s="47"/>
      <c r="H45" s="47">
        <v>3882855</v>
      </c>
      <c r="I45" s="48">
        <v>3882344</v>
      </c>
      <c r="J45" s="46">
        <v>3863846</v>
      </c>
      <c r="K45" s="47">
        <v>616130</v>
      </c>
      <c r="L45" s="47">
        <v>970309</v>
      </c>
      <c r="M45" s="49">
        <v>363586</v>
      </c>
      <c r="N45" s="47">
        <v>611912</v>
      </c>
      <c r="O45" s="47">
        <v>215314</v>
      </c>
      <c r="P45" s="47">
        <v>498270</v>
      </c>
      <c r="Q45" s="47">
        <v>553755</v>
      </c>
      <c r="R45" s="48">
        <v>38570</v>
      </c>
      <c r="S45" s="50"/>
      <c r="T45" s="51"/>
      <c r="U45" s="51">
        <f t="shared" ref="U45" si="10">(I45/H45)*100</f>
        <v>99.986839580669368</v>
      </c>
      <c r="V45" s="73">
        <f>(I45/(F43+F44))*100</f>
        <v>71.33806930572085</v>
      </c>
      <c r="W45" s="53"/>
      <c r="X45" s="54"/>
      <c r="Y45" s="54"/>
      <c r="Z45" s="54"/>
      <c r="AA45" s="54"/>
      <c r="AB45" s="54"/>
      <c r="AC45" s="54"/>
      <c r="AD45" s="54"/>
      <c r="AE45" s="54"/>
      <c r="AF45" s="55"/>
    </row>
    <row r="46" spans="1:32" s="21" customFormat="1" x14ac:dyDescent="0.25">
      <c r="A46" s="26">
        <v>20091094</v>
      </c>
      <c r="B46" s="27" t="s">
        <v>14</v>
      </c>
      <c r="C46" s="28" t="s">
        <v>33</v>
      </c>
      <c r="D46" s="29">
        <v>6</v>
      </c>
      <c r="E46" s="30" t="s">
        <v>15</v>
      </c>
      <c r="F46" s="31">
        <v>1205529</v>
      </c>
      <c r="G46" s="32">
        <v>1099857</v>
      </c>
      <c r="H46" s="32">
        <v>897902</v>
      </c>
      <c r="I46" s="33"/>
      <c r="J46" s="31">
        <v>889812</v>
      </c>
      <c r="K46" s="32">
        <v>262851</v>
      </c>
      <c r="L46" s="32">
        <v>72969</v>
      </c>
      <c r="M46" s="34">
        <v>214942</v>
      </c>
      <c r="N46" s="32">
        <v>38675</v>
      </c>
      <c r="O46" s="32">
        <v>271470</v>
      </c>
      <c r="P46" s="29" t="s">
        <v>19</v>
      </c>
      <c r="Q46" s="32">
        <v>28905</v>
      </c>
      <c r="R46" s="30" t="s">
        <v>19</v>
      </c>
      <c r="S46" s="35">
        <f>(G46/F46)*100</f>
        <v>91.234387559320425</v>
      </c>
      <c r="T46" s="36">
        <f>(H46/G46)*100</f>
        <v>81.638067494228792</v>
      </c>
      <c r="U46" s="36"/>
      <c r="V46" s="71"/>
      <c r="W46" s="38" t="s">
        <v>526</v>
      </c>
      <c r="X46" s="39" t="s">
        <v>527</v>
      </c>
      <c r="Y46" s="39" t="s">
        <v>528</v>
      </c>
      <c r="Z46" s="39" t="s">
        <v>529</v>
      </c>
      <c r="AA46" s="39" t="s">
        <v>530</v>
      </c>
      <c r="AB46" s="39" t="s">
        <v>531</v>
      </c>
      <c r="AC46" s="39" t="s">
        <v>532</v>
      </c>
      <c r="AD46" s="39" t="s">
        <v>533</v>
      </c>
      <c r="AE46" s="39" t="s">
        <v>534</v>
      </c>
      <c r="AF46" s="40" t="s">
        <v>535</v>
      </c>
    </row>
    <row r="47" spans="1:32" s="21" customFormat="1" x14ac:dyDescent="0.25">
      <c r="A47" s="26"/>
      <c r="B47" s="27" t="s">
        <v>17</v>
      </c>
      <c r="C47" s="28" t="s">
        <v>33</v>
      </c>
      <c r="D47" s="29">
        <v>6</v>
      </c>
      <c r="E47" s="30" t="s">
        <v>18</v>
      </c>
      <c r="F47" s="31">
        <v>1175851</v>
      </c>
      <c r="G47" s="32">
        <v>1096318</v>
      </c>
      <c r="H47" s="32">
        <v>860409</v>
      </c>
      <c r="I47" s="33"/>
      <c r="J47" s="31">
        <v>851897</v>
      </c>
      <c r="K47" s="32">
        <v>92813</v>
      </c>
      <c r="L47" s="32">
        <v>120722</v>
      </c>
      <c r="M47" s="34">
        <v>7790</v>
      </c>
      <c r="N47" s="32">
        <v>375332</v>
      </c>
      <c r="O47" s="29" t="s">
        <v>19</v>
      </c>
      <c r="P47" s="32">
        <v>130232</v>
      </c>
      <c r="Q47" s="29" t="s">
        <v>19</v>
      </c>
      <c r="R47" s="33">
        <v>125005</v>
      </c>
      <c r="S47" s="35">
        <f>(G47/F47)*100</f>
        <v>93.236132809344042</v>
      </c>
      <c r="T47" s="36">
        <f>(H47/G47)*100</f>
        <v>78.48169965283796</v>
      </c>
      <c r="U47" s="36"/>
      <c r="V47" s="71"/>
      <c r="W47" s="38"/>
      <c r="X47" s="39"/>
      <c r="Y47" s="39"/>
      <c r="Z47" s="39"/>
      <c r="AA47" s="39"/>
      <c r="AB47" s="39"/>
      <c r="AC47" s="39"/>
      <c r="AD47" s="39"/>
      <c r="AE47" s="39"/>
      <c r="AF47" s="40"/>
    </row>
    <row r="48" spans="1:32" s="21" customFormat="1" x14ac:dyDescent="0.25">
      <c r="A48" s="26"/>
      <c r="B48" s="27" t="s">
        <v>29</v>
      </c>
      <c r="C48" s="28"/>
      <c r="D48" s="29"/>
      <c r="E48" s="30"/>
      <c r="F48" s="31"/>
      <c r="G48" s="32"/>
      <c r="H48" s="32">
        <v>1758311</v>
      </c>
      <c r="I48" s="33">
        <v>1758263</v>
      </c>
      <c r="J48" s="31">
        <v>1741701</v>
      </c>
      <c r="K48" s="32">
        <v>355663</v>
      </c>
      <c r="L48" s="32">
        <v>193689</v>
      </c>
      <c r="M48" s="34">
        <v>222732</v>
      </c>
      <c r="N48" s="32">
        <v>414003</v>
      </c>
      <c r="O48" s="32">
        <v>271471</v>
      </c>
      <c r="P48" s="32">
        <v>130231</v>
      </c>
      <c r="Q48" s="32">
        <v>28907</v>
      </c>
      <c r="R48" s="33">
        <v>125005</v>
      </c>
      <c r="S48" s="35"/>
      <c r="T48" s="36"/>
      <c r="U48" s="36">
        <f t="shared" ref="U48" si="11">(I48/H48)*100</f>
        <v>99.99727010750658</v>
      </c>
      <c r="V48" s="71">
        <f>(I48/(F46+F47))*100</f>
        <v>73.833785452132787</v>
      </c>
      <c r="W48" s="38"/>
      <c r="X48" s="39"/>
      <c r="Y48" s="39"/>
      <c r="Z48" s="39"/>
      <c r="AA48" s="39"/>
      <c r="AB48" s="39"/>
      <c r="AC48" s="39"/>
      <c r="AD48" s="39"/>
      <c r="AE48" s="39"/>
      <c r="AF48" s="40"/>
    </row>
    <row r="49" spans="1:32" s="21" customFormat="1" x14ac:dyDescent="0.25">
      <c r="A49" s="41">
        <v>20091119</v>
      </c>
      <c r="B49" s="42" t="s">
        <v>14</v>
      </c>
      <c r="C49" s="43" t="s">
        <v>33</v>
      </c>
      <c r="D49" s="44">
        <v>5</v>
      </c>
      <c r="E49" s="45" t="s">
        <v>15</v>
      </c>
      <c r="F49" s="46">
        <v>3741352</v>
      </c>
      <c r="G49" s="47">
        <v>3251916</v>
      </c>
      <c r="H49" s="47">
        <v>2626968</v>
      </c>
      <c r="I49" s="48"/>
      <c r="J49" s="46">
        <v>2623737</v>
      </c>
      <c r="K49" s="47">
        <v>63585</v>
      </c>
      <c r="L49" s="47">
        <v>2022041</v>
      </c>
      <c r="M49" s="49">
        <v>68705</v>
      </c>
      <c r="N49" s="75">
        <v>158</v>
      </c>
      <c r="O49" s="47">
        <v>83397</v>
      </c>
      <c r="P49" s="44" t="s">
        <v>19</v>
      </c>
      <c r="Q49" s="47">
        <v>385851</v>
      </c>
      <c r="R49" s="45" t="s">
        <v>19</v>
      </c>
      <c r="S49" s="50">
        <f>(G49/F49)*100</f>
        <v>86.918204969754257</v>
      </c>
      <c r="T49" s="51">
        <f>(H49/G49)*100</f>
        <v>80.782160424808026</v>
      </c>
      <c r="U49" s="51"/>
      <c r="V49" s="73"/>
      <c r="W49" s="53" t="s">
        <v>536</v>
      </c>
      <c r="X49" s="54" t="s">
        <v>537</v>
      </c>
      <c r="Y49" s="54" t="s">
        <v>538</v>
      </c>
      <c r="Z49" s="54" t="s">
        <v>539</v>
      </c>
      <c r="AA49" s="54" t="s">
        <v>540</v>
      </c>
      <c r="AB49" s="54" t="s">
        <v>541</v>
      </c>
      <c r="AC49" s="54" t="s">
        <v>542</v>
      </c>
      <c r="AD49" s="54" t="s">
        <v>543</v>
      </c>
      <c r="AE49" s="54" t="s">
        <v>544</v>
      </c>
      <c r="AF49" s="55" t="s">
        <v>545</v>
      </c>
    </row>
    <row r="50" spans="1:32" s="21" customFormat="1" x14ac:dyDescent="0.25">
      <c r="A50" s="41"/>
      <c r="B50" s="42" t="s">
        <v>17</v>
      </c>
      <c r="C50" s="43" t="s">
        <v>33</v>
      </c>
      <c r="D50" s="44">
        <v>5</v>
      </c>
      <c r="E50" s="45" t="s">
        <v>18</v>
      </c>
      <c r="F50" s="46">
        <f>4000000+3859841</f>
        <v>7859841</v>
      </c>
      <c r="G50" s="47">
        <f>3459850+3328595</f>
        <v>6788445</v>
      </c>
      <c r="H50" s="47">
        <f>2658380+2556976</f>
        <v>5215356</v>
      </c>
      <c r="I50" s="48"/>
      <c r="J50" s="46">
        <v>5209042</v>
      </c>
      <c r="K50" s="47">
        <v>356635</v>
      </c>
      <c r="L50" s="47">
        <v>291004</v>
      </c>
      <c r="M50" s="49">
        <v>2169368</v>
      </c>
      <c r="N50" s="47">
        <v>234741</v>
      </c>
      <c r="O50" s="44" t="s">
        <v>19</v>
      </c>
      <c r="P50" s="47">
        <v>1980696</v>
      </c>
      <c r="Q50" s="44" t="s">
        <v>19</v>
      </c>
      <c r="R50" s="48">
        <v>176596</v>
      </c>
      <c r="S50" s="50">
        <f>(G50/F50)*100</f>
        <v>86.368731886561065</v>
      </c>
      <c r="T50" s="51">
        <f>(H50/G50)*100</f>
        <v>76.826961108177201</v>
      </c>
      <c r="U50" s="51"/>
      <c r="V50" s="73"/>
      <c r="W50" s="53"/>
      <c r="X50" s="54"/>
      <c r="Y50" s="54"/>
      <c r="Z50" s="54"/>
      <c r="AA50" s="54"/>
      <c r="AB50" s="54"/>
      <c r="AC50" s="54"/>
      <c r="AD50" s="54"/>
      <c r="AE50" s="54"/>
      <c r="AF50" s="55"/>
    </row>
    <row r="51" spans="1:32" s="21" customFormat="1" x14ac:dyDescent="0.25">
      <c r="A51" s="41"/>
      <c r="B51" s="42" t="s">
        <v>29</v>
      </c>
      <c r="C51" s="43"/>
      <c r="D51" s="44"/>
      <c r="E51" s="45"/>
      <c r="F51" s="46"/>
      <c r="G51" s="47"/>
      <c r="H51" s="47">
        <v>7842324</v>
      </c>
      <c r="I51" s="48">
        <v>7842286</v>
      </c>
      <c r="J51" s="46">
        <v>7832738</v>
      </c>
      <c r="K51" s="47">
        <v>420220</v>
      </c>
      <c r="L51" s="47">
        <v>2313045</v>
      </c>
      <c r="M51" s="49">
        <v>2238045</v>
      </c>
      <c r="N51" s="47">
        <v>234899</v>
      </c>
      <c r="O51" s="47">
        <v>83398</v>
      </c>
      <c r="P51" s="47">
        <v>1980684</v>
      </c>
      <c r="Q51" s="47">
        <v>385852</v>
      </c>
      <c r="R51" s="48">
        <v>176595</v>
      </c>
      <c r="S51" s="50"/>
      <c r="T51" s="51"/>
      <c r="U51" s="51">
        <f t="shared" ref="U51" si="12">(I51/H51)*100</f>
        <v>99.999515449756984</v>
      </c>
      <c r="V51" s="73">
        <f>(I51/(F49+F50))*100</f>
        <v>67.598961589553767</v>
      </c>
      <c r="W51" s="53"/>
      <c r="X51" s="54"/>
      <c r="Y51" s="54"/>
      <c r="Z51" s="54"/>
      <c r="AA51" s="54"/>
      <c r="AB51" s="54"/>
      <c r="AC51" s="54"/>
      <c r="AD51" s="54"/>
      <c r="AE51" s="54"/>
      <c r="AF51" s="55"/>
    </row>
    <row r="52" spans="1:32" s="21" customFormat="1" x14ac:dyDescent="0.25">
      <c r="A52" s="26">
        <v>20092285</v>
      </c>
      <c r="B52" s="27" t="s">
        <v>14</v>
      </c>
      <c r="C52" s="28" t="s">
        <v>33</v>
      </c>
      <c r="D52" s="29">
        <v>8</v>
      </c>
      <c r="E52" s="30" t="s">
        <v>23</v>
      </c>
      <c r="F52" s="31">
        <v>2344629</v>
      </c>
      <c r="G52" s="32">
        <v>2069206</v>
      </c>
      <c r="H52" s="32">
        <v>1676245</v>
      </c>
      <c r="I52" s="33"/>
      <c r="J52" s="31">
        <v>1663787</v>
      </c>
      <c r="K52" s="34">
        <v>301573</v>
      </c>
      <c r="L52" s="32">
        <v>394945</v>
      </c>
      <c r="M52" s="34">
        <v>348467</v>
      </c>
      <c r="N52" s="32">
        <v>190778</v>
      </c>
      <c r="O52" s="32">
        <v>247923</v>
      </c>
      <c r="P52" s="32" t="s">
        <v>19</v>
      </c>
      <c r="Q52" s="32">
        <v>180101</v>
      </c>
      <c r="R52" s="33" t="s">
        <v>19</v>
      </c>
      <c r="S52" s="35">
        <f>(G52/F52)*100</f>
        <v>88.253024252451027</v>
      </c>
      <c r="T52" s="36">
        <f>(H52/G52)*100</f>
        <v>81.009092376496099</v>
      </c>
      <c r="U52" s="36"/>
      <c r="V52" s="71"/>
      <c r="W52" s="38" t="s">
        <v>586</v>
      </c>
      <c r="X52" s="39" t="s">
        <v>587</v>
      </c>
      <c r="Y52" s="39" t="s">
        <v>588</v>
      </c>
      <c r="Z52" s="39" t="s">
        <v>589</v>
      </c>
      <c r="AA52" s="39" t="s">
        <v>590</v>
      </c>
      <c r="AB52" s="39" t="s">
        <v>591</v>
      </c>
      <c r="AC52" s="39" t="s">
        <v>592</v>
      </c>
      <c r="AD52" s="39" t="s">
        <v>593</v>
      </c>
      <c r="AE52" s="39" t="s">
        <v>594</v>
      </c>
      <c r="AF52" s="40" t="s">
        <v>595</v>
      </c>
    </row>
    <row r="53" spans="1:32" s="21" customFormat="1" x14ac:dyDescent="0.25">
      <c r="A53" s="26"/>
      <c r="B53" s="27" t="s">
        <v>17</v>
      </c>
      <c r="C53" s="28" t="s">
        <v>33</v>
      </c>
      <c r="D53" s="29">
        <v>8</v>
      </c>
      <c r="E53" s="30" t="s">
        <v>24</v>
      </c>
      <c r="F53" s="31">
        <v>2996409</v>
      </c>
      <c r="G53" s="32">
        <v>2666100</v>
      </c>
      <c r="H53" s="32">
        <v>2054302</v>
      </c>
      <c r="I53" s="33"/>
      <c r="J53" s="31">
        <v>2029377</v>
      </c>
      <c r="K53" s="34">
        <v>116793</v>
      </c>
      <c r="L53" s="32">
        <v>309901</v>
      </c>
      <c r="M53" s="34">
        <v>32216</v>
      </c>
      <c r="N53" s="32">
        <v>1012638</v>
      </c>
      <c r="O53" s="32" t="s">
        <v>19</v>
      </c>
      <c r="P53" s="32">
        <v>131591</v>
      </c>
      <c r="Q53" s="32" t="s">
        <v>19</v>
      </c>
      <c r="R53" s="33">
        <v>426238</v>
      </c>
      <c r="S53" s="35">
        <f>(G53/F53)*100</f>
        <v>88.976504876336975</v>
      </c>
      <c r="T53" s="36">
        <f>(H53/G53)*100</f>
        <v>77.052698698473421</v>
      </c>
      <c r="U53" s="36"/>
      <c r="V53" s="71"/>
      <c r="W53" s="38"/>
      <c r="X53" s="39"/>
      <c r="Y53" s="39"/>
      <c r="Z53" s="39"/>
      <c r="AA53" s="39"/>
      <c r="AB53" s="39"/>
      <c r="AC53" s="39"/>
      <c r="AD53" s="39"/>
      <c r="AE53" s="39"/>
      <c r="AF53" s="40"/>
    </row>
    <row r="54" spans="1:32" s="21" customFormat="1" x14ac:dyDescent="0.25">
      <c r="A54" s="26"/>
      <c r="B54" s="27" t="s">
        <v>29</v>
      </c>
      <c r="C54" s="28"/>
      <c r="D54" s="29"/>
      <c r="E54" s="30"/>
      <c r="F54" s="31"/>
      <c r="G54" s="32"/>
      <c r="H54" s="32">
        <v>3730547</v>
      </c>
      <c r="I54" s="33">
        <v>3729236</v>
      </c>
      <c r="J54" s="31">
        <v>3693150</v>
      </c>
      <c r="K54" s="34">
        <v>418365</v>
      </c>
      <c r="L54" s="32">
        <v>704841</v>
      </c>
      <c r="M54" s="34">
        <v>380683</v>
      </c>
      <c r="N54" s="32">
        <v>1203409</v>
      </c>
      <c r="O54" s="32">
        <v>247923</v>
      </c>
      <c r="P54" s="32">
        <v>131591</v>
      </c>
      <c r="Q54" s="32">
        <v>180101</v>
      </c>
      <c r="R54" s="33">
        <v>426237</v>
      </c>
      <c r="S54" s="35"/>
      <c r="T54" s="36"/>
      <c r="U54" s="36">
        <f t="shared" ref="U54" si="13">(I54/H54)*100</f>
        <v>99.964857700492715</v>
      </c>
      <c r="V54" s="71">
        <f>(I54/(F52+F53))*100</f>
        <v>69.822307948380072</v>
      </c>
      <c r="W54" s="38"/>
      <c r="X54" s="39"/>
      <c r="Y54" s="39"/>
      <c r="Z54" s="39"/>
      <c r="AA54" s="39"/>
      <c r="AB54" s="39"/>
      <c r="AC54" s="39"/>
      <c r="AD54" s="39"/>
      <c r="AE54" s="39"/>
      <c r="AF54" s="40"/>
    </row>
    <row r="55" spans="1:32" s="21" customFormat="1" x14ac:dyDescent="0.25">
      <c r="A55" s="41">
        <v>20110089</v>
      </c>
      <c r="B55" s="42" t="s">
        <v>14</v>
      </c>
      <c r="C55" s="43" t="s">
        <v>33</v>
      </c>
      <c r="D55" s="44">
        <v>5</v>
      </c>
      <c r="E55" s="45" t="s">
        <v>23</v>
      </c>
      <c r="F55" s="46">
        <v>1844807</v>
      </c>
      <c r="G55" s="47">
        <v>1557593</v>
      </c>
      <c r="H55" s="47">
        <v>1244908</v>
      </c>
      <c r="I55" s="48"/>
      <c r="J55" s="46">
        <v>1191579</v>
      </c>
      <c r="K55" s="47">
        <v>60678</v>
      </c>
      <c r="L55" s="47">
        <v>472943</v>
      </c>
      <c r="M55" s="49">
        <v>40496</v>
      </c>
      <c r="N55" s="47">
        <v>312467</v>
      </c>
      <c r="O55" s="47">
        <v>47872</v>
      </c>
      <c r="P55" s="47" t="s">
        <v>19</v>
      </c>
      <c r="Q55" s="47">
        <v>257123</v>
      </c>
      <c r="R55" s="48" t="s">
        <v>19</v>
      </c>
      <c r="S55" s="50">
        <f>(G55/F55)*100</f>
        <v>84.431216924046794</v>
      </c>
      <c r="T55" s="51">
        <f>(H55/G55)*100</f>
        <v>79.925115225864516</v>
      </c>
      <c r="U55" s="51"/>
      <c r="V55" s="73"/>
      <c r="W55" s="53" t="s">
        <v>596</v>
      </c>
      <c r="X55" s="54" t="s">
        <v>597</v>
      </c>
      <c r="Y55" s="54" t="s">
        <v>598</v>
      </c>
      <c r="Z55" s="54" t="s">
        <v>599</v>
      </c>
      <c r="AA55" s="54" t="s">
        <v>600</v>
      </c>
      <c r="AB55" s="54" t="s">
        <v>601</v>
      </c>
      <c r="AC55" s="54" t="s">
        <v>602</v>
      </c>
      <c r="AD55" s="54" t="s">
        <v>603</v>
      </c>
      <c r="AE55" s="54" t="s">
        <v>604</v>
      </c>
      <c r="AF55" s="55" t="s">
        <v>605</v>
      </c>
    </row>
    <row r="56" spans="1:32" s="21" customFormat="1" x14ac:dyDescent="0.25">
      <c r="A56" s="41"/>
      <c r="B56" s="42" t="s">
        <v>17</v>
      </c>
      <c r="C56" s="43" t="s">
        <v>33</v>
      </c>
      <c r="D56" s="44">
        <v>5</v>
      </c>
      <c r="E56" s="45" t="s">
        <v>24</v>
      </c>
      <c r="F56" s="46">
        <v>1446948</v>
      </c>
      <c r="G56" s="47">
        <v>1238334</v>
      </c>
      <c r="H56" s="47">
        <v>998787</v>
      </c>
      <c r="I56" s="48"/>
      <c r="J56" s="46">
        <v>974664</v>
      </c>
      <c r="K56" s="47">
        <v>298067</v>
      </c>
      <c r="L56" s="47">
        <v>20831</v>
      </c>
      <c r="M56" s="49">
        <v>25605</v>
      </c>
      <c r="N56" s="47">
        <v>175526</v>
      </c>
      <c r="O56" s="47" t="s">
        <v>19</v>
      </c>
      <c r="P56" s="47">
        <v>444077</v>
      </c>
      <c r="Q56" s="47" t="s">
        <v>19</v>
      </c>
      <c r="R56" s="48">
        <v>10557</v>
      </c>
      <c r="S56" s="50">
        <f>(G56/F56)*100</f>
        <v>85.582481194901277</v>
      </c>
      <c r="T56" s="51">
        <f>(H56/G56)*100</f>
        <v>80.655703550092312</v>
      </c>
      <c r="U56" s="51"/>
      <c r="V56" s="73"/>
      <c r="W56" s="53"/>
      <c r="X56" s="54"/>
      <c r="Y56" s="54"/>
      <c r="Z56" s="54"/>
      <c r="AA56" s="54"/>
      <c r="AB56" s="54"/>
      <c r="AC56" s="54"/>
      <c r="AD56" s="54"/>
      <c r="AE56" s="54"/>
      <c r="AF56" s="55"/>
    </row>
    <row r="57" spans="1:32" s="21" customFormat="1" x14ac:dyDescent="0.25">
      <c r="A57" s="41"/>
      <c r="B57" s="42" t="s">
        <v>29</v>
      </c>
      <c r="C57" s="43"/>
      <c r="D57" s="44"/>
      <c r="E57" s="45"/>
      <c r="F57" s="46"/>
      <c r="G57" s="47"/>
      <c r="H57" s="47">
        <v>2243695</v>
      </c>
      <c r="I57" s="48">
        <v>2243590</v>
      </c>
      <c r="J57" s="46">
        <v>2166240</v>
      </c>
      <c r="K57" s="47">
        <v>358744</v>
      </c>
      <c r="L57" s="47">
        <v>493774</v>
      </c>
      <c r="M57" s="49">
        <v>66101</v>
      </c>
      <c r="N57" s="47">
        <v>487992</v>
      </c>
      <c r="O57" s="47">
        <v>47872</v>
      </c>
      <c r="P57" s="47">
        <v>444076</v>
      </c>
      <c r="Q57" s="47">
        <v>257124</v>
      </c>
      <c r="R57" s="48">
        <v>10557</v>
      </c>
      <c r="S57" s="50"/>
      <c r="T57" s="51"/>
      <c r="U57" s="51">
        <f t="shared" ref="U57" si="14">(I57/H57)*100</f>
        <v>99.99532021954856</v>
      </c>
      <c r="V57" s="73">
        <f>(I57/(F55+F56))*100</f>
        <v>68.157867155969981</v>
      </c>
      <c r="W57" s="53"/>
      <c r="X57" s="54"/>
      <c r="Y57" s="54"/>
      <c r="Z57" s="54"/>
      <c r="AA57" s="54"/>
      <c r="AB57" s="54"/>
      <c r="AC57" s="54"/>
      <c r="AD57" s="54"/>
      <c r="AE57" s="54"/>
      <c r="AF57" s="55"/>
    </row>
    <row r="58" spans="1:32" s="21" customFormat="1" x14ac:dyDescent="0.25">
      <c r="A58" s="26">
        <v>20110216</v>
      </c>
      <c r="B58" s="27" t="s">
        <v>14</v>
      </c>
      <c r="C58" s="28" t="s">
        <v>33</v>
      </c>
      <c r="D58" s="29">
        <v>2</v>
      </c>
      <c r="E58" s="30" t="s">
        <v>25</v>
      </c>
      <c r="F58" s="31">
        <v>769722</v>
      </c>
      <c r="G58" s="32">
        <v>603790</v>
      </c>
      <c r="H58" s="32">
        <v>472738</v>
      </c>
      <c r="I58" s="33"/>
      <c r="J58" s="31">
        <v>439984</v>
      </c>
      <c r="K58" s="32">
        <v>182634</v>
      </c>
      <c r="L58" s="32">
        <v>44029</v>
      </c>
      <c r="M58" s="34">
        <v>86312</v>
      </c>
      <c r="N58" s="32">
        <v>16698</v>
      </c>
      <c r="O58" s="32">
        <v>97346</v>
      </c>
      <c r="P58" s="32" t="s">
        <v>19</v>
      </c>
      <c r="Q58" s="32">
        <v>12965</v>
      </c>
      <c r="R58" s="72" t="s">
        <v>19</v>
      </c>
      <c r="S58" s="35">
        <f>(G58/F58)*100</f>
        <v>78.442606551456237</v>
      </c>
      <c r="T58" s="36">
        <f>(H58/G58)*100</f>
        <v>78.295102601898009</v>
      </c>
      <c r="U58" s="36"/>
      <c r="V58" s="71"/>
      <c r="W58" s="38" t="s">
        <v>616</v>
      </c>
      <c r="X58" s="39" t="s">
        <v>617</v>
      </c>
      <c r="Y58" s="39" t="s">
        <v>618</v>
      </c>
      <c r="Z58" s="39" t="s">
        <v>619</v>
      </c>
      <c r="AA58" s="39" t="s">
        <v>620</v>
      </c>
      <c r="AB58" s="39" t="s">
        <v>621</v>
      </c>
      <c r="AC58" s="39" t="s">
        <v>622</v>
      </c>
      <c r="AD58" s="39" t="s">
        <v>623</v>
      </c>
      <c r="AE58" s="39" t="s">
        <v>624</v>
      </c>
      <c r="AF58" s="40" t="s">
        <v>625</v>
      </c>
    </row>
    <row r="59" spans="1:32" s="21" customFormat="1" x14ac:dyDescent="0.25">
      <c r="A59" s="26"/>
      <c r="B59" s="27" t="s">
        <v>17</v>
      </c>
      <c r="C59" s="28" t="s">
        <v>33</v>
      </c>
      <c r="D59" s="29">
        <v>2</v>
      </c>
      <c r="E59" s="30" t="s">
        <v>26</v>
      </c>
      <c r="F59" s="31">
        <v>1035231</v>
      </c>
      <c r="G59" s="32">
        <v>814729</v>
      </c>
      <c r="H59" s="32">
        <v>649989</v>
      </c>
      <c r="I59" s="33"/>
      <c r="J59" s="31">
        <v>625718</v>
      </c>
      <c r="K59" s="32">
        <v>178090</v>
      </c>
      <c r="L59" s="32">
        <v>35301</v>
      </c>
      <c r="M59" s="34">
        <v>9723</v>
      </c>
      <c r="N59" s="32">
        <v>103140</v>
      </c>
      <c r="O59" s="32" t="s">
        <v>19</v>
      </c>
      <c r="P59" s="32">
        <v>292422</v>
      </c>
      <c r="Q59" s="32" t="s">
        <v>19</v>
      </c>
      <c r="R59" s="72">
        <v>7039</v>
      </c>
      <c r="S59" s="35">
        <f>(G59/F59)*100</f>
        <v>78.700212802746435</v>
      </c>
      <c r="T59" s="36">
        <f>(H59/G59)*100</f>
        <v>79.779779534053645</v>
      </c>
      <c r="U59" s="36"/>
      <c r="V59" s="71"/>
      <c r="W59" s="38"/>
      <c r="X59" s="39"/>
      <c r="Y59" s="39"/>
      <c r="Z59" s="39"/>
      <c r="AA59" s="39"/>
      <c r="AB59" s="39"/>
      <c r="AC59" s="39"/>
      <c r="AD59" s="39"/>
      <c r="AE59" s="39"/>
      <c r="AF59" s="40"/>
    </row>
    <row r="60" spans="1:32" s="21" customFormat="1" x14ac:dyDescent="0.25">
      <c r="A60" s="26"/>
      <c r="B60" s="27" t="s">
        <v>29</v>
      </c>
      <c r="C60" s="28"/>
      <c r="D60" s="29"/>
      <c r="E60" s="30"/>
      <c r="F60" s="31"/>
      <c r="G60" s="32"/>
      <c r="H60" s="32">
        <v>1122727</v>
      </c>
      <c r="I60" s="33">
        <v>1122698</v>
      </c>
      <c r="J60" s="31">
        <v>1065702</v>
      </c>
      <c r="K60" s="32">
        <v>360724</v>
      </c>
      <c r="L60" s="32">
        <v>79330</v>
      </c>
      <c r="M60" s="34">
        <v>96035</v>
      </c>
      <c r="N60" s="32">
        <v>119838</v>
      </c>
      <c r="O60" s="32">
        <v>97348</v>
      </c>
      <c r="P60" s="32">
        <v>292422</v>
      </c>
      <c r="Q60" s="32">
        <v>12966</v>
      </c>
      <c r="R60" s="72">
        <v>7039</v>
      </c>
      <c r="S60" s="35"/>
      <c r="T60" s="36"/>
      <c r="U60" s="36">
        <f t="shared" ref="U60" si="15">(I60/H60)*100</f>
        <v>99.997417003421134</v>
      </c>
      <c r="V60" s="71">
        <f>(I60/(F58+F59))*100</f>
        <v>62.200954817106037</v>
      </c>
      <c r="W60" s="38"/>
      <c r="X60" s="39"/>
      <c r="Y60" s="39"/>
      <c r="Z60" s="39"/>
      <c r="AA60" s="39"/>
      <c r="AB60" s="39"/>
      <c r="AC60" s="39"/>
      <c r="AD60" s="39"/>
      <c r="AE60" s="39"/>
      <c r="AF60" s="40"/>
    </row>
    <row r="61" spans="1:32" s="21" customFormat="1" x14ac:dyDescent="0.25">
      <c r="A61" s="41">
        <v>20110129</v>
      </c>
      <c r="B61" s="42" t="s">
        <v>14</v>
      </c>
      <c r="C61" s="43" t="s">
        <v>33</v>
      </c>
      <c r="D61" s="44">
        <v>3</v>
      </c>
      <c r="E61" s="45" t="s">
        <v>23</v>
      </c>
      <c r="F61" s="46">
        <v>2536373</v>
      </c>
      <c r="G61" s="47">
        <v>2319500</v>
      </c>
      <c r="H61" s="47">
        <v>1779436</v>
      </c>
      <c r="I61" s="48"/>
      <c r="J61" s="46">
        <v>1776858</v>
      </c>
      <c r="K61" s="47">
        <v>377089</v>
      </c>
      <c r="L61" s="47">
        <v>255739</v>
      </c>
      <c r="M61" s="49">
        <v>518054</v>
      </c>
      <c r="N61" s="47">
        <v>263044</v>
      </c>
      <c r="O61" s="47">
        <v>364863</v>
      </c>
      <c r="P61" s="47" t="s">
        <v>19</v>
      </c>
      <c r="Q61" s="47">
        <v>38069</v>
      </c>
      <c r="R61" s="48" t="s">
        <v>19</v>
      </c>
      <c r="S61" s="50">
        <f>(G61/F61)*100</f>
        <v>91.449483179327331</v>
      </c>
      <c r="T61" s="51">
        <f>(H61/G61)*100</f>
        <v>76.716361284759643</v>
      </c>
      <c r="U61" s="51"/>
      <c r="V61" s="73"/>
      <c r="W61" s="53" t="s">
        <v>606</v>
      </c>
      <c r="X61" s="54" t="s">
        <v>607</v>
      </c>
      <c r="Y61" s="54" t="s">
        <v>608</v>
      </c>
      <c r="Z61" s="54" t="s">
        <v>609</v>
      </c>
      <c r="AA61" s="54" t="s">
        <v>610</v>
      </c>
      <c r="AB61" s="54" t="s">
        <v>611</v>
      </c>
      <c r="AC61" s="54" t="s">
        <v>612</v>
      </c>
      <c r="AD61" s="54" t="s">
        <v>613</v>
      </c>
      <c r="AE61" s="54" t="s">
        <v>614</v>
      </c>
      <c r="AF61" s="55" t="s">
        <v>615</v>
      </c>
    </row>
    <row r="62" spans="1:32" s="21" customFormat="1" x14ac:dyDescent="0.25">
      <c r="A62" s="41"/>
      <c r="B62" s="42" t="s">
        <v>17</v>
      </c>
      <c r="C62" s="43" t="s">
        <v>33</v>
      </c>
      <c r="D62" s="44">
        <v>3</v>
      </c>
      <c r="E62" s="45" t="s">
        <v>24</v>
      </c>
      <c r="F62" s="46">
        <v>2058889</v>
      </c>
      <c r="G62" s="47">
        <v>1871363</v>
      </c>
      <c r="H62" s="47">
        <v>1449298</v>
      </c>
      <c r="I62" s="48"/>
      <c r="J62" s="46">
        <v>1447004</v>
      </c>
      <c r="K62" s="47">
        <v>369756</v>
      </c>
      <c r="L62" s="47">
        <v>111919</v>
      </c>
      <c r="M62" s="49">
        <v>349053</v>
      </c>
      <c r="N62" s="47">
        <v>52433</v>
      </c>
      <c r="O62" s="47" t="s">
        <v>19</v>
      </c>
      <c r="P62" s="47">
        <v>510014</v>
      </c>
      <c r="Q62" s="47" t="s">
        <v>19</v>
      </c>
      <c r="R62" s="48">
        <v>53828</v>
      </c>
      <c r="S62" s="50">
        <f>(G62/F62)*100</f>
        <v>90.891883923805509</v>
      </c>
      <c r="T62" s="51">
        <f>(H62/G62)*100</f>
        <v>77.446118150246633</v>
      </c>
      <c r="U62" s="51"/>
      <c r="V62" s="73"/>
      <c r="W62" s="53"/>
      <c r="X62" s="54"/>
      <c r="Y62" s="54"/>
      <c r="Z62" s="54"/>
      <c r="AA62" s="54"/>
      <c r="AB62" s="54"/>
      <c r="AC62" s="54"/>
      <c r="AD62" s="54"/>
      <c r="AE62" s="54"/>
      <c r="AF62" s="55"/>
    </row>
    <row r="63" spans="1:32" s="21" customFormat="1" x14ac:dyDescent="0.25">
      <c r="A63" s="41"/>
      <c r="B63" s="42" t="s">
        <v>29</v>
      </c>
      <c r="C63" s="43"/>
      <c r="D63" s="44"/>
      <c r="E63" s="45"/>
      <c r="F63" s="46"/>
      <c r="G63" s="47"/>
      <c r="H63" s="47">
        <v>3228734</v>
      </c>
      <c r="I63" s="48">
        <v>3228723</v>
      </c>
      <c r="J63" s="46">
        <v>3223853</v>
      </c>
      <c r="K63" s="47">
        <v>706841</v>
      </c>
      <c r="L63" s="47">
        <v>367658</v>
      </c>
      <c r="M63" s="49">
        <v>867105</v>
      </c>
      <c r="N63" s="47">
        <v>315476</v>
      </c>
      <c r="O63" s="47">
        <v>364864</v>
      </c>
      <c r="P63" s="47">
        <v>510013</v>
      </c>
      <c r="Q63" s="47">
        <v>38069</v>
      </c>
      <c r="R63" s="48">
        <v>53827</v>
      </c>
      <c r="S63" s="50"/>
      <c r="T63" s="51"/>
      <c r="U63" s="51">
        <f t="shared" ref="U63" si="16">(I63/H63)*100</f>
        <v>99.999659309190534</v>
      </c>
      <c r="V63" s="73">
        <f>(I63/(F61+F62))*100</f>
        <v>70.262000295086551</v>
      </c>
      <c r="W63" s="53"/>
      <c r="X63" s="54"/>
      <c r="Y63" s="54"/>
      <c r="Z63" s="54"/>
      <c r="AA63" s="54"/>
      <c r="AB63" s="54"/>
      <c r="AC63" s="54"/>
      <c r="AD63" s="54"/>
      <c r="AE63" s="54"/>
      <c r="AF63" s="55"/>
    </row>
    <row r="64" spans="1:32" s="21" customFormat="1" x14ac:dyDescent="0.25">
      <c r="A64" s="26">
        <v>20120647</v>
      </c>
      <c r="B64" s="27" t="s">
        <v>14</v>
      </c>
      <c r="C64" s="28" t="s">
        <v>33</v>
      </c>
      <c r="D64" s="29">
        <v>6</v>
      </c>
      <c r="E64" s="30" t="s">
        <v>27</v>
      </c>
      <c r="F64" s="31">
        <v>986860</v>
      </c>
      <c r="G64" s="32">
        <v>865513</v>
      </c>
      <c r="H64" s="32">
        <v>674111</v>
      </c>
      <c r="I64" s="33"/>
      <c r="J64" s="31">
        <v>658624</v>
      </c>
      <c r="K64" s="32">
        <v>132995</v>
      </c>
      <c r="L64" s="32">
        <v>24078</v>
      </c>
      <c r="M64" s="34">
        <v>86696</v>
      </c>
      <c r="N64" s="32">
        <v>175129</v>
      </c>
      <c r="O64" s="32">
        <v>77355</v>
      </c>
      <c r="P64" s="32" t="s">
        <v>19</v>
      </c>
      <c r="Q64" s="32">
        <v>162371</v>
      </c>
      <c r="R64" s="33" t="s">
        <v>19</v>
      </c>
      <c r="S64" s="35">
        <f>(G64/F64)*100</f>
        <v>87.703726972417556</v>
      </c>
      <c r="T64" s="36">
        <f>(H64/G64)*100</f>
        <v>77.885716332394779</v>
      </c>
      <c r="U64" s="36"/>
      <c r="V64" s="71"/>
      <c r="W64" s="38" t="s">
        <v>646</v>
      </c>
      <c r="X64" s="39" t="s">
        <v>647</v>
      </c>
      <c r="Y64" s="39" t="s">
        <v>648</v>
      </c>
      <c r="Z64" s="39" t="s">
        <v>649</v>
      </c>
      <c r="AA64" s="39" t="s">
        <v>650</v>
      </c>
      <c r="AB64" s="39" t="s">
        <v>651</v>
      </c>
      <c r="AC64" s="39" t="s">
        <v>652</v>
      </c>
      <c r="AD64" s="39" t="s">
        <v>653</v>
      </c>
      <c r="AE64" s="39" t="s">
        <v>654</v>
      </c>
      <c r="AF64" s="40" t="s">
        <v>655</v>
      </c>
    </row>
    <row r="65" spans="1:32" s="21" customFormat="1" x14ac:dyDescent="0.25">
      <c r="A65" s="26"/>
      <c r="B65" s="27" t="s">
        <v>17</v>
      </c>
      <c r="C65" s="28" t="s">
        <v>33</v>
      </c>
      <c r="D65" s="29">
        <v>6</v>
      </c>
      <c r="E65" s="30" t="s">
        <v>28</v>
      </c>
      <c r="F65" s="31">
        <v>962021</v>
      </c>
      <c r="G65" s="32">
        <v>887023</v>
      </c>
      <c r="H65" s="32">
        <v>706945</v>
      </c>
      <c r="I65" s="33"/>
      <c r="J65" s="31">
        <v>698139</v>
      </c>
      <c r="K65" s="32">
        <v>64185</v>
      </c>
      <c r="L65" s="32">
        <v>242464</v>
      </c>
      <c r="M65" s="34">
        <v>10986</v>
      </c>
      <c r="N65" s="32">
        <v>189315</v>
      </c>
      <c r="O65" s="32" t="s">
        <v>19</v>
      </c>
      <c r="P65" s="32">
        <v>118288</v>
      </c>
      <c r="Q65" s="32" t="s">
        <v>19</v>
      </c>
      <c r="R65" s="33">
        <v>72901</v>
      </c>
      <c r="S65" s="35">
        <f>(G65/F65)*100</f>
        <v>92.204120284276541</v>
      </c>
      <c r="T65" s="36">
        <f>(H65/G65)*100</f>
        <v>79.698609844389594</v>
      </c>
      <c r="U65" s="36"/>
      <c r="V65" s="71"/>
      <c r="W65" s="38"/>
      <c r="X65" s="39"/>
      <c r="Y65" s="39"/>
      <c r="Z65" s="39"/>
      <c r="AA65" s="39"/>
      <c r="AB65" s="39"/>
      <c r="AC65" s="39"/>
      <c r="AD65" s="39"/>
      <c r="AE65" s="39"/>
      <c r="AF65" s="40"/>
    </row>
    <row r="66" spans="1:32" s="21" customFormat="1" x14ac:dyDescent="0.25">
      <c r="A66" s="26"/>
      <c r="B66" s="27" t="s">
        <v>29</v>
      </c>
      <c r="C66" s="28"/>
      <c r="D66" s="29"/>
      <c r="E66" s="30"/>
      <c r="F66" s="31"/>
      <c r="G66" s="32"/>
      <c r="H66" s="32">
        <v>1381056</v>
      </c>
      <c r="I66" s="33">
        <v>1380993</v>
      </c>
      <c r="J66" s="31">
        <v>1356757</v>
      </c>
      <c r="K66" s="32">
        <v>197180</v>
      </c>
      <c r="L66" s="32">
        <v>266538</v>
      </c>
      <c r="M66" s="34">
        <v>97681</v>
      </c>
      <c r="N66" s="32">
        <v>364444</v>
      </c>
      <c r="O66" s="32">
        <v>77355</v>
      </c>
      <c r="P66" s="32">
        <v>118287</v>
      </c>
      <c r="Q66" s="32">
        <v>162371</v>
      </c>
      <c r="R66" s="33">
        <v>71901</v>
      </c>
      <c r="S66" s="35"/>
      <c r="T66" s="36"/>
      <c r="U66" s="36">
        <f t="shared" ref="U66" si="17">(I66/H66)*100</f>
        <v>99.995438273321284</v>
      </c>
      <c r="V66" s="71">
        <f>(I66/(F64+F65))*100</f>
        <v>70.860817053478371</v>
      </c>
      <c r="W66" s="38"/>
      <c r="X66" s="39"/>
      <c r="Y66" s="39"/>
      <c r="Z66" s="39"/>
      <c r="AA66" s="39"/>
      <c r="AB66" s="39"/>
      <c r="AC66" s="39"/>
      <c r="AD66" s="39"/>
      <c r="AE66" s="39"/>
      <c r="AF66" s="40"/>
    </row>
    <row r="67" spans="1:32" s="21" customFormat="1" x14ac:dyDescent="0.25">
      <c r="A67" s="41">
        <v>20121047</v>
      </c>
      <c r="B67" s="42" t="s">
        <v>14</v>
      </c>
      <c r="C67" s="43" t="s">
        <v>16</v>
      </c>
      <c r="D67" s="44">
        <v>3</v>
      </c>
      <c r="E67" s="45" t="s">
        <v>21</v>
      </c>
      <c r="F67" s="46">
        <v>1550462</v>
      </c>
      <c r="G67" s="47">
        <v>1368308</v>
      </c>
      <c r="H67" s="47">
        <v>1129121</v>
      </c>
      <c r="I67" s="48"/>
      <c r="J67" s="46">
        <v>1117637</v>
      </c>
      <c r="K67" s="47">
        <v>136689</v>
      </c>
      <c r="L67" s="47">
        <v>476328</v>
      </c>
      <c r="M67" s="49">
        <v>96936</v>
      </c>
      <c r="N67" s="47">
        <v>171567</v>
      </c>
      <c r="O67" s="47">
        <v>81855</v>
      </c>
      <c r="P67" s="47" t="s">
        <v>19</v>
      </c>
      <c r="Q67" s="47">
        <v>154262</v>
      </c>
      <c r="R67" s="48" t="s">
        <v>19</v>
      </c>
      <c r="S67" s="50">
        <f>(G67/F67)*100</f>
        <v>88.251630804237706</v>
      </c>
      <c r="T67" s="51">
        <f>(H67/G67)*100</f>
        <v>82.519505842251888</v>
      </c>
      <c r="U67" s="51"/>
      <c r="V67" s="73"/>
      <c r="W67" s="53" t="s">
        <v>736</v>
      </c>
      <c r="X67" s="54" t="s">
        <v>737</v>
      </c>
      <c r="Y67" s="54" t="s">
        <v>738</v>
      </c>
      <c r="Z67" s="54" t="s">
        <v>739</v>
      </c>
      <c r="AA67" s="54" t="s">
        <v>740</v>
      </c>
      <c r="AB67" s="54" t="s">
        <v>741</v>
      </c>
      <c r="AC67" s="54" t="s">
        <v>742</v>
      </c>
      <c r="AD67" s="54" t="s">
        <v>743</v>
      </c>
      <c r="AE67" s="54" t="s">
        <v>744</v>
      </c>
      <c r="AF67" s="55" t="s">
        <v>745</v>
      </c>
    </row>
    <row r="68" spans="1:32" s="21" customFormat="1" x14ac:dyDescent="0.25">
      <c r="A68" s="41"/>
      <c r="B68" s="42" t="s">
        <v>17</v>
      </c>
      <c r="C68" s="43" t="s">
        <v>16</v>
      </c>
      <c r="D68" s="44">
        <v>3</v>
      </c>
      <c r="E68" s="45" t="s">
        <v>22</v>
      </c>
      <c r="F68" s="46">
        <v>1737187</v>
      </c>
      <c r="G68" s="47">
        <v>1541664</v>
      </c>
      <c r="H68" s="47">
        <v>1232810</v>
      </c>
      <c r="I68" s="48"/>
      <c r="J68" s="46">
        <v>1225845</v>
      </c>
      <c r="K68" s="47">
        <v>494045</v>
      </c>
      <c r="L68" s="47">
        <v>41494</v>
      </c>
      <c r="M68" s="49">
        <v>20670</v>
      </c>
      <c r="N68" s="47">
        <v>133303</v>
      </c>
      <c r="O68" s="47" t="s">
        <v>19</v>
      </c>
      <c r="P68" s="47">
        <v>506678</v>
      </c>
      <c r="Q68" s="47" t="s">
        <v>19</v>
      </c>
      <c r="R68" s="48">
        <v>29642</v>
      </c>
      <c r="S68" s="50">
        <f>(G68/F68)*100</f>
        <v>88.744850151422966</v>
      </c>
      <c r="T68" s="51">
        <f>(H68/G68)*100</f>
        <v>79.966192373954385</v>
      </c>
      <c r="U68" s="51"/>
      <c r="V68" s="73"/>
      <c r="W68" s="53"/>
      <c r="X68" s="54"/>
      <c r="Y68" s="54"/>
      <c r="Z68" s="54"/>
      <c r="AA68" s="54"/>
      <c r="AB68" s="54"/>
      <c r="AC68" s="54"/>
      <c r="AD68" s="54"/>
      <c r="AE68" s="54"/>
      <c r="AF68" s="55"/>
    </row>
    <row r="69" spans="1:32" s="21" customFormat="1" x14ac:dyDescent="0.25">
      <c r="A69" s="41"/>
      <c r="B69" s="42" t="s">
        <v>29</v>
      </c>
      <c r="C69" s="43"/>
      <c r="D69" s="44"/>
      <c r="E69" s="45"/>
      <c r="F69" s="46"/>
      <c r="G69" s="47"/>
      <c r="H69" s="47">
        <v>2361931</v>
      </c>
      <c r="I69" s="48">
        <v>2361271</v>
      </c>
      <c r="J69" s="46">
        <v>2343471</v>
      </c>
      <c r="K69" s="47">
        <v>630734</v>
      </c>
      <c r="L69" s="47">
        <v>517822</v>
      </c>
      <c r="M69" s="49">
        <v>117602</v>
      </c>
      <c r="N69" s="47">
        <v>304870</v>
      </c>
      <c r="O69" s="47">
        <v>81868</v>
      </c>
      <c r="P69" s="47">
        <v>506671</v>
      </c>
      <c r="Q69" s="47">
        <v>154262</v>
      </c>
      <c r="R69" s="48">
        <v>29642</v>
      </c>
      <c r="S69" s="50"/>
      <c r="T69" s="51"/>
      <c r="U69" s="51">
        <f t="shared" ref="U69" si="18">(I69/H69)*100</f>
        <v>99.972056762030732</v>
      </c>
      <c r="V69" s="73">
        <f>(I69/(F67+F68))*100</f>
        <v>71.822478616178316</v>
      </c>
      <c r="W69" s="53"/>
      <c r="X69" s="54"/>
      <c r="Y69" s="54"/>
      <c r="Z69" s="54"/>
      <c r="AA69" s="54"/>
      <c r="AB69" s="54"/>
      <c r="AC69" s="54"/>
      <c r="AD69" s="54"/>
      <c r="AE69" s="54"/>
      <c r="AF69" s="55"/>
    </row>
    <row r="70" spans="1:32" s="21" customFormat="1" x14ac:dyDescent="0.25">
      <c r="A70" s="26">
        <v>20120642</v>
      </c>
      <c r="B70" s="27" t="s">
        <v>14</v>
      </c>
      <c r="C70" s="28" t="s">
        <v>33</v>
      </c>
      <c r="D70" s="29">
        <v>7</v>
      </c>
      <c r="E70" s="30" t="s">
        <v>27</v>
      </c>
      <c r="F70" s="31">
        <v>1545143</v>
      </c>
      <c r="G70" s="32">
        <v>1415403</v>
      </c>
      <c r="H70" s="32">
        <v>1061708</v>
      </c>
      <c r="I70" s="33"/>
      <c r="J70" s="31">
        <v>1060824</v>
      </c>
      <c r="K70" s="32">
        <v>7725</v>
      </c>
      <c r="L70" s="32">
        <v>461843</v>
      </c>
      <c r="M70" s="34">
        <v>4328</v>
      </c>
      <c r="N70" s="32">
        <v>319156</v>
      </c>
      <c r="O70" s="32">
        <v>25398</v>
      </c>
      <c r="P70" s="32" t="s">
        <v>19</v>
      </c>
      <c r="Q70" s="32">
        <v>242374</v>
      </c>
      <c r="R70" s="33" t="s">
        <v>19</v>
      </c>
      <c r="S70" s="35">
        <f>(G70/F70)*100</f>
        <v>91.603366160931387</v>
      </c>
      <c r="T70" s="36">
        <f>(H70/G70)*100</f>
        <v>75.011003933155422</v>
      </c>
      <c r="U70" s="36"/>
      <c r="V70" s="71"/>
      <c r="W70" s="38" t="s">
        <v>636</v>
      </c>
      <c r="X70" s="39" t="s">
        <v>637</v>
      </c>
      <c r="Y70" s="39" t="s">
        <v>638</v>
      </c>
      <c r="Z70" s="39" t="s">
        <v>639</v>
      </c>
      <c r="AA70" s="39" t="s">
        <v>640</v>
      </c>
      <c r="AB70" s="39" t="s">
        <v>641</v>
      </c>
      <c r="AC70" s="39" t="s">
        <v>642</v>
      </c>
      <c r="AD70" s="39" t="s">
        <v>643</v>
      </c>
      <c r="AE70" s="39" t="s">
        <v>644</v>
      </c>
      <c r="AF70" s="40" t="s">
        <v>645</v>
      </c>
    </row>
    <row r="71" spans="1:32" s="21" customFormat="1" x14ac:dyDescent="0.25">
      <c r="A71" s="26"/>
      <c r="B71" s="27" t="s">
        <v>17</v>
      </c>
      <c r="C71" s="28" t="s">
        <v>33</v>
      </c>
      <c r="D71" s="29">
        <v>7</v>
      </c>
      <c r="E71" s="30" t="s">
        <v>28</v>
      </c>
      <c r="F71" s="31">
        <v>1951077</v>
      </c>
      <c r="G71" s="32">
        <v>1777005</v>
      </c>
      <c r="H71" s="32">
        <v>1438782</v>
      </c>
      <c r="I71" s="33"/>
      <c r="J71" s="31">
        <v>1436181</v>
      </c>
      <c r="K71" s="32">
        <v>17438</v>
      </c>
      <c r="L71" s="32">
        <v>675856</v>
      </c>
      <c r="M71" s="34">
        <v>72582</v>
      </c>
      <c r="N71" s="32">
        <v>296877</v>
      </c>
      <c r="O71" s="32" t="s">
        <v>19</v>
      </c>
      <c r="P71" s="32">
        <v>29999</v>
      </c>
      <c r="Q71" s="32" t="s">
        <v>19</v>
      </c>
      <c r="R71" s="33">
        <v>343428</v>
      </c>
      <c r="S71" s="35">
        <f>(G71/F71)*100</f>
        <v>91.078158370992028</v>
      </c>
      <c r="T71" s="36">
        <f>(H71/G71)*100</f>
        <v>80.966682704888285</v>
      </c>
      <c r="U71" s="36"/>
      <c r="V71" s="71"/>
      <c r="W71" s="38"/>
      <c r="X71" s="39"/>
      <c r="Y71" s="39"/>
      <c r="Z71" s="39"/>
      <c r="AA71" s="39"/>
      <c r="AB71" s="39"/>
      <c r="AC71" s="39"/>
      <c r="AD71" s="39"/>
      <c r="AE71" s="39"/>
      <c r="AF71" s="40"/>
    </row>
    <row r="72" spans="1:32" s="21" customFormat="1" x14ac:dyDescent="0.25">
      <c r="A72" s="26"/>
      <c r="B72" s="27" t="s">
        <v>29</v>
      </c>
      <c r="C72" s="28"/>
      <c r="D72" s="29"/>
      <c r="E72" s="30"/>
      <c r="F72" s="31"/>
      <c r="G72" s="32"/>
      <c r="H72" s="32">
        <v>2500490</v>
      </c>
      <c r="I72" s="33">
        <v>2500463</v>
      </c>
      <c r="J72" s="31">
        <v>2496996</v>
      </c>
      <c r="K72" s="32">
        <v>25163</v>
      </c>
      <c r="L72" s="32">
        <v>1137694</v>
      </c>
      <c r="M72" s="34">
        <v>76907</v>
      </c>
      <c r="N72" s="32">
        <v>616033</v>
      </c>
      <c r="O72" s="32">
        <v>25399</v>
      </c>
      <c r="P72" s="32">
        <v>29998</v>
      </c>
      <c r="Q72" s="32">
        <v>242374</v>
      </c>
      <c r="R72" s="33">
        <v>343428</v>
      </c>
      <c r="S72" s="35"/>
      <c r="T72" s="36"/>
      <c r="U72" s="36">
        <f t="shared" ref="U72" si="19">(I72/H72)*100</f>
        <v>99.99892021163852</v>
      </c>
      <c r="V72" s="71">
        <f>(I72/(F70+F71))*100</f>
        <v>71.519040563808915</v>
      </c>
      <c r="W72" s="38"/>
      <c r="X72" s="39"/>
      <c r="Y72" s="39"/>
      <c r="Z72" s="39"/>
      <c r="AA72" s="39"/>
      <c r="AB72" s="39"/>
      <c r="AC72" s="39"/>
      <c r="AD72" s="39"/>
      <c r="AE72" s="39"/>
      <c r="AF72" s="40"/>
    </row>
    <row r="73" spans="1:32" s="21" customFormat="1" x14ac:dyDescent="0.25">
      <c r="A73" s="41">
        <v>20120513</v>
      </c>
      <c r="B73" s="42" t="s">
        <v>14</v>
      </c>
      <c r="C73" s="43" t="s">
        <v>33</v>
      </c>
      <c r="D73" s="44">
        <v>1</v>
      </c>
      <c r="E73" s="45" t="s">
        <v>25</v>
      </c>
      <c r="F73" s="46">
        <v>1239283</v>
      </c>
      <c r="G73" s="47">
        <v>1107363</v>
      </c>
      <c r="H73" s="47">
        <v>822053</v>
      </c>
      <c r="I73" s="48"/>
      <c r="J73" s="46">
        <v>820834</v>
      </c>
      <c r="K73" s="47">
        <v>97200</v>
      </c>
      <c r="L73" s="47">
        <v>179974</v>
      </c>
      <c r="M73" s="49">
        <v>220</v>
      </c>
      <c r="N73" s="47">
        <v>142833</v>
      </c>
      <c r="O73" s="47">
        <v>301150</v>
      </c>
      <c r="P73" s="47" t="s">
        <v>19</v>
      </c>
      <c r="Q73" s="47">
        <v>99457</v>
      </c>
      <c r="R73" s="48" t="s">
        <v>19</v>
      </c>
      <c r="S73" s="50">
        <f>(G73/F73)*100</f>
        <v>89.355135187039608</v>
      </c>
      <c r="T73" s="51">
        <f>(H73/G73)*100</f>
        <v>74.235187558190034</v>
      </c>
      <c r="U73" s="51"/>
      <c r="V73" s="73"/>
      <c r="W73" s="53" t="s">
        <v>626</v>
      </c>
      <c r="X73" s="54" t="s">
        <v>627</v>
      </c>
      <c r="Y73" s="54" t="s">
        <v>628</v>
      </c>
      <c r="Z73" s="54" t="s">
        <v>629</v>
      </c>
      <c r="AA73" s="54" t="s">
        <v>630</v>
      </c>
      <c r="AB73" s="54" t="s">
        <v>631</v>
      </c>
      <c r="AC73" s="54" t="s">
        <v>632</v>
      </c>
      <c r="AD73" s="54" t="s">
        <v>633</v>
      </c>
      <c r="AE73" s="54" t="s">
        <v>634</v>
      </c>
      <c r="AF73" s="55" t="s">
        <v>635</v>
      </c>
    </row>
    <row r="74" spans="1:32" s="21" customFormat="1" x14ac:dyDescent="0.25">
      <c r="A74" s="41"/>
      <c r="B74" s="42" t="s">
        <v>17</v>
      </c>
      <c r="C74" s="43" t="s">
        <v>33</v>
      </c>
      <c r="D74" s="44">
        <v>1</v>
      </c>
      <c r="E74" s="45" t="s">
        <v>26</v>
      </c>
      <c r="F74" s="46">
        <v>2938566</v>
      </c>
      <c r="G74" s="47">
        <v>2635805</v>
      </c>
      <c r="H74" s="47">
        <v>2132256</v>
      </c>
      <c r="I74" s="48"/>
      <c r="J74" s="46">
        <v>2124533</v>
      </c>
      <c r="K74" s="47">
        <v>117497</v>
      </c>
      <c r="L74" s="47">
        <v>951034</v>
      </c>
      <c r="M74" s="49">
        <v>128540</v>
      </c>
      <c r="N74" s="47">
        <v>403623</v>
      </c>
      <c r="O74" s="47" t="s">
        <v>19</v>
      </c>
      <c r="P74" s="47">
        <v>143994</v>
      </c>
      <c r="Q74" s="47" t="s">
        <v>19</v>
      </c>
      <c r="R74" s="48">
        <v>379842</v>
      </c>
      <c r="S74" s="50">
        <f>(G74/F74)*100</f>
        <v>89.69698145285831</v>
      </c>
      <c r="T74" s="51">
        <f>(H74/G74)*100</f>
        <v>80.895817406826382</v>
      </c>
      <c r="U74" s="51"/>
      <c r="V74" s="73"/>
      <c r="W74" s="53"/>
      <c r="X74" s="54"/>
      <c r="Y74" s="54"/>
      <c r="Z74" s="54"/>
      <c r="AA74" s="54"/>
      <c r="AB74" s="54"/>
      <c r="AC74" s="54"/>
      <c r="AD74" s="54"/>
      <c r="AE74" s="54"/>
      <c r="AF74" s="55"/>
    </row>
    <row r="75" spans="1:32" s="21" customFormat="1" x14ac:dyDescent="0.25">
      <c r="A75" s="41"/>
      <c r="B75" s="42" t="s">
        <v>29</v>
      </c>
      <c r="C75" s="43"/>
      <c r="D75" s="44"/>
      <c r="E75" s="45"/>
      <c r="F75" s="46"/>
      <c r="G75" s="47"/>
      <c r="H75" s="47">
        <v>2954309</v>
      </c>
      <c r="I75" s="48">
        <v>2954294</v>
      </c>
      <c r="J75" s="46">
        <v>2945351</v>
      </c>
      <c r="K75" s="47">
        <v>214695</v>
      </c>
      <c r="L75" s="47">
        <v>1131004</v>
      </c>
      <c r="M75" s="49">
        <v>128754</v>
      </c>
      <c r="N75" s="47">
        <v>546452</v>
      </c>
      <c r="O75" s="47">
        <v>301153</v>
      </c>
      <c r="P75" s="47">
        <v>143994</v>
      </c>
      <c r="Q75" s="47">
        <v>99457</v>
      </c>
      <c r="R75" s="48">
        <v>379842</v>
      </c>
      <c r="S75" s="50"/>
      <c r="T75" s="51"/>
      <c r="U75" s="51">
        <f t="shared" ref="U75" si="20">(I75/H75)*100</f>
        <v>99.999492267058059</v>
      </c>
      <c r="V75" s="73">
        <f>(I75/(F73+F74))*100</f>
        <v>70.713278531608012</v>
      </c>
      <c r="W75" s="53"/>
      <c r="X75" s="54"/>
      <c r="Y75" s="54"/>
      <c r="Z75" s="54"/>
      <c r="AA75" s="54"/>
      <c r="AB75" s="54"/>
      <c r="AC75" s="54"/>
      <c r="AD75" s="54"/>
      <c r="AE75" s="54"/>
      <c r="AF75" s="55"/>
    </row>
    <row r="76" spans="1:32" s="21" customFormat="1" x14ac:dyDescent="0.25">
      <c r="A76" s="26">
        <v>20120850</v>
      </c>
      <c r="B76" s="27" t="s">
        <v>14</v>
      </c>
      <c r="C76" s="28" t="s">
        <v>33</v>
      </c>
      <c r="D76" s="29">
        <v>5</v>
      </c>
      <c r="E76" s="30" t="s">
        <v>27</v>
      </c>
      <c r="F76" s="31">
        <v>3433141</v>
      </c>
      <c r="G76" s="32">
        <v>2951957</v>
      </c>
      <c r="H76" s="32">
        <v>2288618</v>
      </c>
      <c r="I76" s="33"/>
      <c r="J76" s="31">
        <v>2277840</v>
      </c>
      <c r="K76" s="32">
        <v>387191</v>
      </c>
      <c r="L76" s="32">
        <v>578969</v>
      </c>
      <c r="M76" s="34">
        <v>354390</v>
      </c>
      <c r="N76" s="32">
        <v>399011</v>
      </c>
      <c r="O76" s="32">
        <v>299991</v>
      </c>
      <c r="P76" s="32" t="s">
        <v>19</v>
      </c>
      <c r="Q76" s="32">
        <v>258288</v>
      </c>
      <c r="R76" s="33" t="s">
        <v>19</v>
      </c>
      <c r="S76" s="35">
        <f>(G76/F76)*100</f>
        <v>85.98414687890768</v>
      </c>
      <c r="T76" s="36">
        <f>(H76/G76)*100</f>
        <v>77.528839342849508</v>
      </c>
      <c r="U76" s="36"/>
      <c r="V76" s="71"/>
      <c r="W76" s="38" t="s">
        <v>656</v>
      </c>
      <c r="X76" s="39" t="s">
        <v>657</v>
      </c>
      <c r="Y76" s="39" t="s">
        <v>658</v>
      </c>
      <c r="Z76" s="39" t="s">
        <v>659</v>
      </c>
      <c r="AA76" s="39" t="s">
        <v>660</v>
      </c>
      <c r="AB76" s="39" t="s">
        <v>661</v>
      </c>
      <c r="AC76" s="39" t="s">
        <v>662</v>
      </c>
      <c r="AD76" s="39" t="s">
        <v>663</v>
      </c>
      <c r="AE76" s="39" t="s">
        <v>664</v>
      </c>
      <c r="AF76" s="40" t="s">
        <v>665</v>
      </c>
    </row>
    <row r="77" spans="1:32" s="21" customFormat="1" x14ac:dyDescent="0.25">
      <c r="A77" s="26"/>
      <c r="B77" s="27" t="s">
        <v>17</v>
      </c>
      <c r="C77" s="28" t="s">
        <v>33</v>
      </c>
      <c r="D77" s="29">
        <v>5</v>
      </c>
      <c r="E77" s="30" t="s">
        <v>28</v>
      </c>
      <c r="F77" s="31">
        <v>2171538</v>
      </c>
      <c r="G77" s="32">
        <v>1853944</v>
      </c>
      <c r="H77" s="32">
        <v>1472303</v>
      </c>
      <c r="I77" s="33"/>
      <c r="J77" s="31">
        <v>1445857</v>
      </c>
      <c r="K77" s="32">
        <v>239299</v>
      </c>
      <c r="L77" s="32">
        <v>267928</v>
      </c>
      <c r="M77" s="34">
        <v>361240</v>
      </c>
      <c r="N77" s="32">
        <v>201378</v>
      </c>
      <c r="O77" s="32" t="s">
        <v>19</v>
      </c>
      <c r="P77" s="32">
        <v>164921</v>
      </c>
      <c r="Q77" s="32" t="s">
        <v>19</v>
      </c>
      <c r="R77" s="33">
        <v>211090</v>
      </c>
      <c r="S77" s="35">
        <f>(G77/F77)*100</f>
        <v>85.374697564583258</v>
      </c>
      <c r="T77" s="36">
        <f>(H77/G77)*100</f>
        <v>79.414642513473979</v>
      </c>
      <c r="U77" s="36"/>
      <c r="V77" s="71"/>
      <c r="W77" s="38"/>
      <c r="X77" s="39"/>
      <c r="Y77" s="39"/>
      <c r="Z77" s="39"/>
      <c r="AA77" s="39"/>
      <c r="AB77" s="39"/>
      <c r="AC77" s="39"/>
      <c r="AD77" s="39"/>
      <c r="AE77" s="39"/>
      <c r="AF77" s="40"/>
    </row>
    <row r="78" spans="1:32" s="21" customFormat="1" x14ac:dyDescent="0.25">
      <c r="A78" s="26"/>
      <c r="B78" s="27" t="s">
        <v>29</v>
      </c>
      <c r="C78" s="28"/>
      <c r="D78" s="29"/>
      <c r="E78" s="30"/>
      <c r="F78" s="28"/>
      <c r="G78" s="29"/>
      <c r="H78" s="32">
        <v>3760921</v>
      </c>
      <c r="I78" s="33">
        <v>3760831</v>
      </c>
      <c r="J78" s="31">
        <v>3723562</v>
      </c>
      <c r="K78" s="32">
        <v>626489</v>
      </c>
      <c r="L78" s="32">
        <v>846891</v>
      </c>
      <c r="M78" s="34">
        <v>715574</v>
      </c>
      <c r="N78" s="32">
        <v>600388</v>
      </c>
      <c r="O78" s="32">
        <v>299991</v>
      </c>
      <c r="P78" s="32">
        <v>164850</v>
      </c>
      <c r="Q78" s="32">
        <v>258289</v>
      </c>
      <c r="R78" s="33">
        <v>211090</v>
      </c>
      <c r="S78" s="35"/>
      <c r="T78" s="36"/>
      <c r="U78" s="36">
        <f t="shared" ref="U78" si="21">(I78/H78)*100</f>
        <v>99.997606969143987</v>
      </c>
      <c r="V78" s="71">
        <f>(I78/(F76+F77))*100</f>
        <v>67.101630619701851</v>
      </c>
      <c r="W78" s="38"/>
      <c r="X78" s="39"/>
      <c r="Y78" s="39"/>
      <c r="Z78" s="39"/>
      <c r="AA78" s="39"/>
      <c r="AB78" s="39"/>
      <c r="AC78" s="39"/>
      <c r="AD78" s="39"/>
      <c r="AE78" s="39"/>
      <c r="AF78" s="40"/>
    </row>
    <row r="79" spans="1:32" s="21" customFormat="1" x14ac:dyDescent="0.25">
      <c r="A79" s="41">
        <v>20120884</v>
      </c>
      <c r="B79" s="42" t="s">
        <v>14</v>
      </c>
      <c r="C79" s="43" t="s">
        <v>33</v>
      </c>
      <c r="D79" s="44">
        <v>3</v>
      </c>
      <c r="E79" s="45" t="s">
        <v>27</v>
      </c>
      <c r="F79" s="46">
        <v>3850231</v>
      </c>
      <c r="G79" s="47">
        <v>3488682</v>
      </c>
      <c r="H79" s="47">
        <v>2774765</v>
      </c>
      <c r="I79" s="48"/>
      <c r="J79" s="46">
        <v>2639952</v>
      </c>
      <c r="K79" s="47">
        <v>912061</v>
      </c>
      <c r="L79" s="47">
        <v>90469</v>
      </c>
      <c r="M79" s="49">
        <v>689246</v>
      </c>
      <c r="N79" s="49">
        <v>132</v>
      </c>
      <c r="O79" s="47">
        <v>775856</v>
      </c>
      <c r="P79" s="47" t="s">
        <v>19</v>
      </c>
      <c r="Q79" s="47">
        <v>172188</v>
      </c>
      <c r="R79" s="74" t="s">
        <v>19</v>
      </c>
      <c r="S79" s="50">
        <f>(G79/F79)*100</f>
        <v>90.609680302298742</v>
      </c>
      <c r="T79" s="51">
        <f>(H79/G79)*100</f>
        <v>79.536197337561859</v>
      </c>
      <c r="U79" s="51"/>
      <c r="V79" s="73"/>
      <c r="W79" s="53" t="s">
        <v>666</v>
      </c>
      <c r="X79" s="54" t="s">
        <v>667</v>
      </c>
      <c r="Y79" s="54" t="s">
        <v>668</v>
      </c>
      <c r="Z79" s="54" t="s">
        <v>669</v>
      </c>
      <c r="AA79" s="54" t="s">
        <v>670</v>
      </c>
      <c r="AB79" s="54" t="s">
        <v>671</v>
      </c>
      <c r="AC79" s="54" t="s">
        <v>672</v>
      </c>
      <c r="AD79" s="54" t="s">
        <v>673</v>
      </c>
      <c r="AE79" s="54" t="s">
        <v>674</v>
      </c>
      <c r="AF79" s="55" t="s">
        <v>675</v>
      </c>
    </row>
    <row r="80" spans="1:32" s="21" customFormat="1" x14ac:dyDescent="0.25">
      <c r="A80" s="41"/>
      <c r="B80" s="42" t="s">
        <v>17</v>
      </c>
      <c r="C80" s="43" t="s">
        <v>33</v>
      </c>
      <c r="D80" s="44">
        <v>3</v>
      </c>
      <c r="E80" s="45" t="s">
        <v>28</v>
      </c>
      <c r="F80" s="46">
        <v>1434758</v>
      </c>
      <c r="G80" s="47">
        <v>1306454</v>
      </c>
      <c r="H80" s="47">
        <v>1045684</v>
      </c>
      <c r="I80" s="48"/>
      <c r="J80" s="46">
        <v>991696</v>
      </c>
      <c r="K80" s="47">
        <v>309449</v>
      </c>
      <c r="L80" s="47">
        <v>36152</v>
      </c>
      <c r="M80" s="49">
        <v>53420</v>
      </c>
      <c r="N80" s="47">
        <v>193874</v>
      </c>
      <c r="O80" s="47" t="s">
        <v>19</v>
      </c>
      <c r="P80" s="47">
        <v>392741</v>
      </c>
      <c r="Q80" s="47" t="s">
        <v>19</v>
      </c>
      <c r="R80" s="74">
        <v>6060</v>
      </c>
      <c r="S80" s="50">
        <f>(G80/F80)*100</f>
        <v>91.057446621660247</v>
      </c>
      <c r="T80" s="51">
        <f>(H80/G80)*100</f>
        <v>80.039863630866449</v>
      </c>
      <c r="U80" s="51"/>
      <c r="V80" s="73"/>
      <c r="W80" s="53"/>
      <c r="X80" s="54"/>
      <c r="Y80" s="54"/>
      <c r="Z80" s="54"/>
      <c r="AA80" s="54"/>
      <c r="AB80" s="54"/>
      <c r="AC80" s="54"/>
      <c r="AD80" s="54"/>
      <c r="AE80" s="54"/>
      <c r="AF80" s="55"/>
    </row>
    <row r="81" spans="1:32" s="21" customFormat="1" x14ac:dyDescent="0.25">
      <c r="A81" s="41"/>
      <c r="B81" s="42" t="s">
        <v>29</v>
      </c>
      <c r="C81" s="43"/>
      <c r="D81" s="44"/>
      <c r="E81" s="45"/>
      <c r="F81" s="46"/>
      <c r="G81" s="47"/>
      <c r="H81" s="47">
        <v>3820449</v>
      </c>
      <c r="I81" s="48">
        <v>3820253</v>
      </c>
      <c r="J81" s="46">
        <v>3631641</v>
      </c>
      <c r="K81" s="47">
        <v>1221510</v>
      </c>
      <c r="L81" s="47">
        <v>126621</v>
      </c>
      <c r="M81" s="49">
        <v>742666</v>
      </c>
      <c r="N81" s="47">
        <v>194005</v>
      </c>
      <c r="O81" s="47">
        <v>775856</v>
      </c>
      <c r="P81" s="47">
        <v>392737</v>
      </c>
      <c r="Q81" s="47">
        <v>172188</v>
      </c>
      <c r="R81" s="74">
        <v>6058</v>
      </c>
      <c r="S81" s="50"/>
      <c r="T81" s="51"/>
      <c r="U81" s="51">
        <f t="shared" ref="U81" si="22">(I81/H81)*100</f>
        <v>99.994869712957822</v>
      </c>
      <c r="V81" s="73">
        <f>(I81/(F79+F80))*100</f>
        <v>72.28497542757421</v>
      </c>
      <c r="W81" s="53"/>
      <c r="X81" s="54"/>
      <c r="Y81" s="54"/>
      <c r="Z81" s="54"/>
      <c r="AA81" s="54"/>
      <c r="AB81" s="54"/>
      <c r="AC81" s="54"/>
      <c r="AD81" s="54"/>
      <c r="AE81" s="54"/>
      <c r="AF81" s="55"/>
    </row>
    <row r="82" spans="1:32" s="21" customFormat="1" x14ac:dyDescent="0.25">
      <c r="A82" s="26">
        <v>20120907</v>
      </c>
      <c r="B82" s="27" t="s">
        <v>14</v>
      </c>
      <c r="C82" s="28" t="s">
        <v>16</v>
      </c>
      <c r="D82" s="29">
        <v>3</v>
      </c>
      <c r="E82" s="30" t="s">
        <v>34</v>
      </c>
      <c r="F82" s="31">
        <v>1596560</v>
      </c>
      <c r="G82" s="32">
        <v>1409668</v>
      </c>
      <c r="H82" s="32">
        <v>1053404</v>
      </c>
      <c r="I82" s="33"/>
      <c r="J82" s="31">
        <v>1049580</v>
      </c>
      <c r="K82" s="32">
        <v>217919</v>
      </c>
      <c r="L82" s="32">
        <v>200588</v>
      </c>
      <c r="M82" s="34">
        <v>254800</v>
      </c>
      <c r="N82" s="32">
        <v>121704</v>
      </c>
      <c r="O82" s="32">
        <v>166935</v>
      </c>
      <c r="P82" s="32" t="s">
        <v>19</v>
      </c>
      <c r="Q82" s="32">
        <v>87634</v>
      </c>
      <c r="R82" s="33" t="s">
        <v>19</v>
      </c>
      <c r="S82" s="35">
        <f>(G82/F82)*100</f>
        <v>88.294082276895324</v>
      </c>
      <c r="T82" s="36">
        <f>(H82/G82)*100</f>
        <v>74.727098862994694</v>
      </c>
      <c r="U82" s="36"/>
      <c r="V82" s="71"/>
      <c r="W82" s="38" t="s">
        <v>676</v>
      </c>
      <c r="X82" s="39" t="s">
        <v>677</v>
      </c>
      <c r="Y82" s="39" t="s">
        <v>678</v>
      </c>
      <c r="Z82" s="39" t="s">
        <v>679</v>
      </c>
      <c r="AA82" s="39" t="s">
        <v>680</v>
      </c>
      <c r="AB82" s="39" t="s">
        <v>681</v>
      </c>
      <c r="AC82" s="39" t="s">
        <v>682</v>
      </c>
      <c r="AD82" s="39" t="s">
        <v>683</v>
      </c>
      <c r="AE82" s="39" t="s">
        <v>684</v>
      </c>
      <c r="AF82" s="40" t="s">
        <v>685</v>
      </c>
    </row>
    <row r="83" spans="1:32" s="21" customFormat="1" x14ac:dyDescent="0.25">
      <c r="A83" s="26"/>
      <c r="B83" s="27" t="s">
        <v>17</v>
      </c>
      <c r="C83" s="28" t="s">
        <v>16</v>
      </c>
      <c r="D83" s="29">
        <v>3</v>
      </c>
      <c r="E83" s="30" t="s">
        <v>35</v>
      </c>
      <c r="F83" s="31">
        <v>1527182</v>
      </c>
      <c r="G83" s="32">
        <v>1348911</v>
      </c>
      <c r="H83" s="32">
        <v>1072304</v>
      </c>
      <c r="I83" s="33"/>
      <c r="J83" s="31">
        <v>1069091</v>
      </c>
      <c r="K83" s="32">
        <v>267415</v>
      </c>
      <c r="L83" s="32">
        <v>157044</v>
      </c>
      <c r="M83" s="34">
        <v>50147</v>
      </c>
      <c r="N83" s="32">
        <v>194645</v>
      </c>
      <c r="O83" s="32" t="s">
        <v>19</v>
      </c>
      <c r="P83" s="32">
        <v>361362</v>
      </c>
      <c r="Q83" s="32" t="s">
        <v>19</v>
      </c>
      <c r="R83" s="33">
        <v>35472</v>
      </c>
      <c r="S83" s="35">
        <f>(G83/F83)*100</f>
        <v>88.326800603988261</v>
      </c>
      <c r="T83" s="36">
        <f>(H83/G83)*100</f>
        <v>79.494051127168504</v>
      </c>
      <c r="U83" s="36"/>
      <c r="V83" s="71"/>
      <c r="W83" s="38"/>
      <c r="X83" s="39"/>
      <c r="Y83" s="39"/>
      <c r="Z83" s="39"/>
      <c r="AA83" s="39"/>
      <c r="AB83" s="39"/>
      <c r="AC83" s="39"/>
      <c r="AD83" s="39"/>
      <c r="AE83" s="39"/>
      <c r="AF83" s="40"/>
    </row>
    <row r="84" spans="1:32" s="21" customFormat="1" x14ac:dyDescent="0.25">
      <c r="A84" s="26"/>
      <c r="B84" s="27" t="s">
        <v>29</v>
      </c>
      <c r="C84" s="28"/>
      <c r="D84" s="29"/>
      <c r="E84" s="30"/>
      <c r="F84" s="31"/>
      <c r="G84" s="32"/>
      <c r="H84" s="32">
        <v>2125708</v>
      </c>
      <c r="I84" s="33">
        <v>2125228</v>
      </c>
      <c r="J84" s="31">
        <v>2118666</v>
      </c>
      <c r="K84" s="32">
        <v>485333</v>
      </c>
      <c r="L84" s="32">
        <v>357632</v>
      </c>
      <c r="M84" s="34">
        <v>304946</v>
      </c>
      <c r="N84" s="32">
        <v>319349</v>
      </c>
      <c r="O84" s="32">
        <v>166940</v>
      </c>
      <c r="P84" s="32">
        <v>361359</v>
      </c>
      <c r="Q84" s="32">
        <v>87635</v>
      </c>
      <c r="R84" s="33">
        <v>35472</v>
      </c>
      <c r="S84" s="35"/>
      <c r="T84" s="36"/>
      <c r="U84" s="36">
        <f t="shared" ref="U84" si="23">(I84/H84)*100</f>
        <v>99.977419288067793</v>
      </c>
      <c r="V84" s="71">
        <f>(I84/(F82+F83))*100</f>
        <v>68.034684042408117</v>
      </c>
      <c r="W84" s="38"/>
      <c r="X84" s="39"/>
      <c r="Y84" s="39"/>
      <c r="Z84" s="39"/>
      <c r="AA84" s="39"/>
      <c r="AB84" s="39"/>
      <c r="AC84" s="39"/>
      <c r="AD84" s="39"/>
      <c r="AE84" s="39"/>
      <c r="AF84" s="40"/>
    </row>
    <row r="85" spans="1:32" s="21" customFormat="1" x14ac:dyDescent="0.25">
      <c r="A85" s="41">
        <v>20120924</v>
      </c>
      <c r="B85" s="42" t="s">
        <v>14</v>
      </c>
      <c r="C85" s="43" t="s">
        <v>16</v>
      </c>
      <c r="D85" s="44">
        <v>2</v>
      </c>
      <c r="E85" s="45" t="s">
        <v>34</v>
      </c>
      <c r="F85" s="46">
        <v>1359842</v>
      </c>
      <c r="G85" s="47">
        <v>1138051</v>
      </c>
      <c r="H85" s="47">
        <v>834801</v>
      </c>
      <c r="I85" s="48"/>
      <c r="J85" s="46">
        <v>816898</v>
      </c>
      <c r="K85" s="47">
        <v>183543</v>
      </c>
      <c r="L85" s="47">
        <v>107539</v>
      </c>
      <c r="M85" s="49">
        <v>239817</v>
      </c>
      <c r="N85" s="47">
        <v>66171</v>
      </c>
      <c r="O85" s="47">
        <v>169576</v>
      </c>
      <c r="P85" s="47" t="s">
        <v>19</v>
      </c>
      <c r="Q85" s="47">
        <v>50252</v>
      </c>
      <c r="R85" s="48" t="s">
        <v>19</v>
      </c>
      <c r="S85" s="50">
        <f>(G85/F85)*100</f>
        <v>83.689943390482128</v>
      </c>
      <c r="T85" s="51">
        <f>(H85/G85)*100</f>
        <v>73.353566755795654</v>
      </c>
      <c r="U85" s="51"/>
      <c r="V85" s="73"/>
      <c r="W85" s="53" t="s">
        <v>686</v>
      </c>
      <c r="X85" s="54" t="s">
        <v>687</v>
      </c>
      <c r="Y85" s="54" t="s">
        <v>688</v>
      </c>
      <c r="Z85" s="54" t="s">
        <v>689</v>
      </c>
      <c r="AA85" s="54" t="s">
        <v>690</v>
      </c>
      <c r="AB85" s="54" t="s">
        <v>691</v>
      </c>
      <c r="AC85" s="54" t="s">
        <v>692</v>
      </c>
      <c r="AD85" s="54" t="s">
        <v>693</v>
      </c>
      <c r="AE85" s="54" t="s">
        <v>694</v>
      </c>
      <c r="AF85" s="55" t="s">
        <v>695</v>
      </c>
    </row>
    <row r="86" spans="1:32" s="21" customFormat="1" x14ac:dyDescent="0.25">
      <c r="A86" s="41"/>
      <c r="B86" s="42" t="s">
        <v>17</v>
      </c>
      <c r="C86" s="43" t="s">
        <v>16</v>
      </c>
      <c r="D86" s="44">
        <v>2</v>
      </c>
      <c r="E86" s="45" t="s">
        <v>35</v>
      </c>
      <c r="F86" s="46">
        <v>1177026</v>
      </c>
      <c r="G86" s="47">
        <v>995948</v>
      </c>
      <c r="H86" s="47">
        <v>740696</v>
      </c>
      <c r="I86" s="48"/>
      <c r="J86" s="46">
        <v>724064</v>
      </c>
      <c r="K86" s="47">
        <v>273926</v>
      </c>
      <c r="L86" s="47">
        <v>21930</v>
      </c>
      <c r="M86" s="49">
        <v>121971</v>
      </c>
      <c r="N86" s="47">
        <v>25003</v>
      </c>
      <c r="O86" s="47" t="s">
        <v>19</v>
      </c>
      <c r="P86" s="47">
        <v>265841</v>
      </c>
      <c r="Q86" s="47" t="s">
        <v>19</v>
      </c>
      <c r="R86" s="48">
        <v>15391</v>
      </c>
      <c r="S86" s="50">
        <f>(G86/F86)*100</f>
        <v>84.615632959679729</v>
      </c>
      <c r="T86" s="51">
        <f>(H86/G86)*100</f>
        <v>74.370951093832204</v>
      </c>
      <c r="U86" s="51"/>
      <c r="V86" s="73"/>
      <c r="W86" s="53"/>
      <c r="X86" s="54"/>
      <c r="Y86" s="54"/>
      <c r="Z86" s="54"/>
      <c r="AA86" s="54"/>
      <c r="AB86" s="54"/>
      <c r="AC86" s="54"/>
      <c r="AD86" s="54"/>
      <c r="AE86" s="54"/>
      <c r="AF86" s="55"/>
    </row>
    <row r="87" spans="1:32" s="21" customFormat="1" x14ac:dyDescent="0.25">
      <c r="A87" s="41"/>
      <c r="B87" s="42" t="s">
        <v>29</v>
      </c>
      <c r="C87" s="43"/>
      <c r="D87" s="44"/>
      <c r="E87" s="45"/>
      <c r="F87" s="46"/>
      <c r="G87" s="47"/>
      <c r="H87" s="47">
        <v>1575497</v>
      </c>
      <c r="I87" s="48">
        <v>1574863</v>
      </c>
      <c r="J87" s="46">
        <v>1540961</v>
      </c>
      <c r="K87" s="47">
        <v>457469</v>
      </c>
      <c r="L87" s="47">
        <v>129469</v>
      </c>
      <c r="M87" s="49">
        <v>361788</v>
      </c>
      <c r="N87" s="47">
        <v>91174</v>
      </c>
      <c r="O87" s="47">
        <v>169576</v>
      </c>
      <c r="P87" s="47">
        <v>265840</v>
      </c>
      <c r="Q87" s="47">
        <v>50254</v>
      </c>
      <c r="R87" s="48">
        <v>15391</v>
      </c>
      <c r="S87" s="50"/>
      <c r="T87" s="51"/>
      <c r="U87" s="51">
        <f t="shared" ref="U87" si="24">(I87/H87)*100</f>
        <v>99.959758730102308</v>
      </c>
      <c r="V87" s="73">
        <f>(I87/(F85+F86))*100</f>
        <v>62.079028155978158</v>
      </c>
      <c r="W87" s="53"/>
      <c r="X87" s="54"/>
      <c r="Y87" s="54"/>
      <c r="Z87" s="54"/>
      <c r="AA87" s="54"/>
      <c r="AB87" s="54"/>
      <c r="AC87" s="54"/>
      <c r="AD87" s="54"/>
      <c r="AE87" s="54"/>
      <c r="AF87" s="55"/>
    </row>
    <row r="88" spans="1:32" s="21" customFormat="1" x14ac:dyDescent="0.25">
      <c r="A88" s="26">
        <v>20121009</v>
      </c>
      <c r="B88" s="27" t="s">
        <v>14</v>
      </c>
      <c r="C88" s="28" t="s">
        <v>33</v>
      </c>
      <c r="D88" s="29">
        <v>7</v>
      </c>
      <c r="E88" s="30" t="s">
        <v>25</v>
      </c>
      <c r="F88" s="31">
        <v>3693264</v>
      </c>
      <c r="G88" s="32">
        <v>3386744</v>
      </c>
      <c r="H88" s="32">
        <v>2581964</v>
      </c>
      <c r="I88" s="33"/>
      <c r="J88" s="31">
        <v>2579912</v>
      </c>
      <c r="K88" s="32">
        <v>327615</v>
      </c>
      <c r="L88" s="32">
        <v>742497</v>
      </c>
      <c r="M88" s="34">
        <v>254072</v>
      </c>
      <c r="N88" s="32">
        <v>604803</v>
      </c>
      <c r="O88" s="32">
        <v>278306</v>
      </c>
      <c r="P88" s="32" t="s">
        <v>19</v>
      </c>
      <c r="Q88" s="32">
        <v>372619</v>
      </c>
      <c r="R88" s="33" t="s">
        <v>19</v>
      </c>
      <c r="S88" s="35">
        <f>(G88/F88)*100</f>
        <v>91.700566220015673</v>
      </c>
      <c r="T88" s="36">
        <f>(H88/G88)*100</f>
        <v>76.237353635231955</v>
      </c>
      <c r="U88" s="36"/>
      <c r="V88" s="71"/>
      <c r="W88" s="38" t="s">
        <v>706</v>
      </c>
      <c r="X88" s="39" t="s">
        <v>707</v>
      </c>
      <c r="Y88" s="39" t="s">
        <v>708</v>
      </c>
      <c r="Z88" s="39" t="s">
        <v>709</v>
      </c>
      <c r="AA88" s="39" t="s">
        <v>710</v>
      </c>
      <c r="AB88" s="39" t="s">
        <v>711</v>
      </c>
      <c r="AC88" s="39" t="s">
        <v>712</v>
      </c>
      <c r="AD88" s="39" t="s">
        <v>713</v>
      </c>
      <c r="AE88" s="39" t="s">
        <v>714</v>
      </c>
      <c r="AF88" s="40" t="s">
        <v>715</v>
      </c>
    </row>
    <row r="89" spans="1:32" s="21" customFormat="1" x14ac:dyDescent="0.25">
      <c r="A89" s="26"/>
      <c r="B89" s="27" t="s">
        <v>17</v>
      </c>
      <c r="C89" s="28" t="s">
        <v>33</v>
      </c>
      <c r="D89" s="29">
        <v>7</v>
      </c>
      <c r="E89" s="30" t="s">
        <v>26</v>
      </c>
      <c r="F89" s="31">
        <f>4000000+632398</f>
        <v>4632398</v>
      </c>
      <c r="G89" s="32">
        <f>3672584+578180</f>
        <v>4250764</v>
      </c>
      <c r="H89" s="32">
        <f>2940652+463130</f>
        <v>3403782</v>
      </c>
      <c r="I89" s="33"/>
      <c r="J89" s="31">
        <v>3396409</v>
      </c>
      <c r="K89" s="32">
        <v>85734</v>
      </c>
      <c r="L89" s="32">
        <v>1302736</v>
      </c>
      <c r="M89" s="34">
        <v>87034</v>
      </c>
      <c r="N89" s="32">
        <v>1066308</v>
      </c>
      <c r="O89" s="32" t="s">
        <v>19</v>
      </c>
      <c r="P89" s="32">
        <v>83820</v>
      </c>
      <c r="Q89" s="32" t="s">
        <v>19</v>
      </c>
      <c r="R89" s="33">
        <v>770772</v>
      </c>
      <c r="S89" s="35">
        <f>(G89/F89)*100</f>
        <v>91.761631880507679</v>
      </c>
      <c r="T89" s="36">
        <f>(H89/G89)*100</f>
        <v>80.074593649518064</v>
      </c>
      <c r="U89" s="36"/>
      <c r="V89" s="71"/>
      <c r="W89" s="38"/>
      <c r="X89" s="39"/>
      <c r="Y89" s="39"/>
      <c r="Z89" s="39"/>
      <c r="AA89" s="39"/>
      <c r="AB89" s="39"/>
      <c r="AC89" s="39"/>
      <c r="AD89" s="39"/>
      <c r="AE89" s="39"/>
      <c r="AF89" s="40"/>
    </row>
    <row r="90" spans="1:32" s="21" customFormat="1" x14ac:dyDescent="0.25">
      <c r="A90" s="26"/>
      <c r="B90" s="27" t="s">
        <v>29</v>
      </c>
      <c r="C90" s="28"/>
      <c r="D90" s="29"/>
      <c r="E90" s="30"/>
      <c r="F90" s="31"/>
      <c r="G90" s="32"/>
      <c r="H90" s="32">
        <v>5985746</v>
      </c>
      <c r="I90" s="33">
        <v>5985567</v>
      </c>
      <c r="J90" s="31">
        <v>5976284</v>
      </c>
      <c r="K90" s="32">
        <v>413347</v>
      </c>
      <c r="L90" s="32">
        <v>2045218</v>
      </c>
      <c r="M90" s="34">
        <v>341097</v>
      </c>
      <c r="N90" s="32">
        <v>1671106</v>
      </c>
      <c r="O90" s="32">
        <v>278310</v>
      </c>
      <c r="P90" s="32">
        <v>83816</v>
      </c>
      <c r="Q90" s="32">
        <v>372620</v>
      </c>
      <c r="R90" s="33">
        <v>770770</v>
      </c>
      <c r="S90" s="35"/>
      <c r="T90" s="36"/>
      <c r="U90" s="36">
        <f t="shared" ref="U90" si="25">(I90/H90)*100</f>
        <v>99.997009562383695</v>
      </c>
      <c r="V90" s="71">
        <f>(I90/(F88+F89))*100</f>
        <v>71.892985807014512</v>
      </c>
      <c r="W90" s="38"/>
      <c r="X90" s="39"/>
      <c r="Y90" s="39"/>
      <c r="Z90" s="39"/>
      <c r="AA90" s="39"/>
      <c r="AB90" s="39"/>
      <c r="AC90" s="39"/>
      <c r="AD90" s="39"/>
      <c r="AE90" s="39"/>
      <c r="AF90" s="40"/>
    </row>
    <row r="91" spans="1:32" s="21" customFormat="1" x14ac:dyDescent="0.25">
      <c r="A91" s="41">
        <v>20120992</v>
      </c>
      <c r="B91" s="42" t="s">
        <v>14</v>
      </c>
      <c r="C91" s="43" t="s">
        <v>16</v>
      </c>
      <c r="D91" s="44">
        <v>1</v>
      </c>
      <c r="E91" s="45" t="s">
        <v>34</v>
      </c>
      <c r="F91" s="46">
        <v>1313760</v>
      </c>
      <c r="G91" s="47">
        <v>1010852</v>
      </c>
      <c r="H91" s="47">
        <v>742657</v>
      </c>
      <c r="I91" s="48"/>
      <c r="J91" s="46">
        <v>740943</v>
      </c>
      <c r="K91" s="47">
        <v>131991</v>
      </c>
      <c r="L91" s="47">
        <v>171785</v>
      </c>
      <c r="M91" s="49">
        <v>122523</v>
      </c>
      <c r="N91" s="47">
        <v>126927</v>
      </c>
      <c r="O91" s="47">
        <v>110583</v>
      </c>
      <c r="P91" s="47" t="s">
        <v>19</v>
      </c>
      <c r="Q91" s="47">
        <v>77134</v>
      </c>
      <c r="R91" s="48" t="s">
        <v>19</v>
      </c>
      <c r="S91" s="50">
        <f>(G91/F91)*100</f>
        <v>76.943429545731334</v>
      </c>
      <c r="T91" s="51">
        <f>(H91/G91)*100</f>
        <v>73.468420698579024</v>
      </c>
      <c r="U91" s="51"/>
      <c r="V91" s="73"/>
      <c r="W91" s="53" t="s">
        <v>696</v>
      </c>
      <c r="X91" s="54" t="s">
        <v>697</v>
      </c>
      <c r="Y91" s="54" t="s">
        <v>698</v>
      </c>
      <c r="Z91" s="54" t="s">
        <v>699</v>
      </c>
      <c r="AA91" s="54" t="s">
        <v>700</v>
      </c>
      <c r="AB91" s="54" t="s">
        <v>701</v>
      </c>
      <c r="AC91" s="54" t="s">
        <v>702</v>
      </c>
      <c r="AD91" s="54" t="s">
        <v>703</v>
      </c>
      <c r="AE91" s="54" t="s">
        <v>704</v>
      </c>
      <c r="AF91" s="55" t="s">
        <v>705</v>
      </c>
    </row>
    <row r="92" spans="1:32" s="21" customFormat="1" x14ac:dyDescent="0.25">
      <c r="A92" s="41"/>
      <c r="B92" s="42" t="s">
        <v>17</v>
      </c>
      <c r="C92" s="43" t="s">
        <v>16</v>
      </c>
      <c r="D92" s="44">
        <v>1</v>
      </c>
      <c r="E92" s="45" t="s">
        <v>35</v>
      </c>
      <c r="F92" s="46">
        <v>1529693</v>
      </c>
      <c r="G92" s="47">
        <v>1180163</v>
      </c>
      <c r="H92" s="47">
        <v>923977</v>
      </c>
      <c r="I92" s="48"/>
      <c r="J92" s="46">
        <v>922482</v>
      </c>
      <c r="K92" s="47">
        <v>294777</v>
      </c>
      <c r="L92" s="47">
        <v>84935</v>
      </c>
      <c r="M92" s="49">
        <v>137484</v>
      </c>
      <c r="N92" s="47">
        <v>65541</v>
      </c>
      <c r="O92" s="47" t="s">
        <v>19</v>
      </c>
      <c r="P92" s="47">
        <v>299383</v>
      </c>
      <c r="Q92" s="47" t="s">
        <v>19</v>
      </c>
      <c r="R92" s="48">
        <v>40359</v>
      </c>
      <c r="S92" s="50">
        <f>(G92/F92)*100</f>
        <v>77.15031708976899</v>
      </c>
      <c r="T92" s="51">
        <f>(H92/G92)*100</f>
        <v>78.292320637064535</v>
      </c>
      <c r="U92" s="51"/>
      <c r="V92" s="73"/>
      <c r="W92" s="53"/>
      <c r="X92" s="54"/>
      <c r="Y92" s="54"/>
      <c r="Z92" s="54"/>
      <c r="AA92" s="54"/>
      <c r="AB92" s="54"/>
      <c r="AC92" s="54"/>
      <c r="AD92" s="54"/>
      <c r="AE92" s="54"/>
      <c r="AF92" s="55"/>
    </row>
    <row r="93" spans="1:32" s="21" customFormat="1" x14ac:dyDescent="0.25">
      <c r="A93" s="41"/>
      <c r="B93" s="42" t="s">
        <v>29</v>
      </c>
      <c r="C93" s="43"/>
      <c r="D93" s="44"/>
      <c r="E93" s="45"/>
      <c r="F93" s="46"/>
      <c r="G93" s="47"/>
      <c r="H93" s="47">
        <v>1666634</v>
      </c>
      <c r="I93" s="48">
        <v>1665170</v>
      </c>
      <c r="J93" s="46">
        <v>1663420</v>
      </c>
      <c r="K93" s="47">
        <v>426767</v>
      </c>
      <c r="L93" s="47">
        <v>256720</v>
      </c>
      <c r="M93" s="49">
        <v>260003</v>
      </c>
      <c r="N93" s="47">
        <v>192468</v>
      </c>
      <c r="O93" s="47">
        <v>110586</v>
      </c>
      <c r="P93" s="47">
        <v>299383</v>
      </c>
      <c r="Q93" s="47">
        <v>77134</v>
      </c>
      <c r="R93" s="48">
        <v>40359</v>
      </c>
      <c r="S93" s="50"/>
      <c r="T93" s="51"/>
      <c r="U93" s="51">
        <f t="shared" ref="U93" si="26">(I93/H93)*100</f>
        <v>99.912158278302257</v>
      </c>
      <c r="V93" s="73">
        <f>(I93/(F91+F92))*100</f>
        <v>58.561544713417099</v>
      </c>
      <c r="W93" s="53"/>
      <c r="X93" s="54"/>
      <c r="Y93" s="54"/>
      <c r="Z93" s="54"/>
      <c r="AA93" s="54"/>
      <c r="AB93" s="54"/>
      <c r="AC93" s="54"/>
      <c r="AD93" s="54"/>
      <c r="AE93" s="54"/>
      <c r="AF93" s="55"/>
    </row>
    <row r="94" spans="1:32" s="21" customFormat="1" x14ac:dyDescent="0.25">
      <c r="A94" s="26">
        <v>20121026</v>
      </c>
      <c r="B94" s="27" t="s">
        <v>14</v>
      </c>
      <c r="C94" s="28" t="s">
        <v>33</v>
      </c>
      <c r="D94" s="29">
        <v>6</v>
      </c>
      <c r="E94" s="30" t="s">
        <v>25</v>
      </c>
      <c r="F94" s="31">
        <v>1669568</v>
      </c>
      <c r="G94" s="32">
        <v>1554656</v>
      </c>
      <c r="H94" s="32">
        <v>1205373</v>
      </c>
      <c r="I94" s="33"/>
      <c r="J94" s="31">
        <v>1171930</v>
      </c>
      <c r="K94" s="32">
        <v>250633</v>
      </c>
      <c r="L94" s="32">
        <v>273088</v>
      </c>
      <c r="M94" s="34">
        <v>73491</v>
      </c>
      <c r="N94" s="32">
        <v>151064</v>
      </c>
      <c r="O94" s="32">
        <v>261656</v>
      </c>
      <c r="P94" s="32" t="s">
        <v>19</v>
      </c>
      <c r="Q94" s="32">
        <v>161998</v>
      </c>
      <c r="R94" s="33" t="s">
        <v>19</v>
      </c>
      <c r="S94" s="35">
        <f>(G94/F94)*100</f>
        <v>93.11726147123089</v>
      </c>
      <c r="T94" s="36">
        <f>(H94/G94)*100</f>
        <v>77.533100570158282</v>
      </c>
      <c r="U94" s="36"/>
      <c r="V94" s="71"/>
      <c r="W94" s="38" t="s">
        <v>716</v>
      </c>
      <c r="X94" s="39" t="s">
        <v>717</v>
      </c>
      <c r="Y94" s="39" t="s">
        <v>718</v>
      </c>
      <c r="Z94" s="39" t="s">
        <v>719</v>
      </c>
      <c r="AA94" s="39" t="s">
        <v>720</v>
      </c>
      <c r="AB94" s="39" t="s">
        <v>721</v>
      </c>
      <c r="AC94" s="39" t="s">
        <v>722</v>
      </c>
      <c r="AD94" s="39" t="s">
        <v>723</v>
      </c>
      <c r="AE94" s="39" t="s">
        <v>724</v>
      </c>
      <c r="AF94" s="40" t="s">
        <v>725</v>
      </c>
    </row>
    <row r="95" spans="1:32" s="21" customFormat="1" x14ac:dyDescent="0.25">
      <c r="A95" s="26"/>
      <c r="B95" s="27" t="s">
        <v>17</v>
      </c>
      <c r="C95" s="28" t="s">
        <v>33</v>
      </c>
      <c r="D95" s="29">
        <v>6</v>
      </c>
      <c r="E95" s="30" t="s">
        <v>26</v>
      </c>
      <c r="F95" s="31">
        <v>1284439</v>
      </c>
      <c r="G95" s="32">
        <v>1185543</v>
      </c>
      <c r="H95" s="32">
        <v>981444</v>
      </c>
      <c r="I95" s="33"/>
      <c r="J95" s="31">
        <v>970849</v>
      </c>
      <c r="K95" s="32">
        <v>376865</v>
      </c>
      <c r="L95" s="32">
        <v>20537</v>
      </c>
      <c r="M95" s="34">
        <v>66114</v>
      </c>
      <c r="N95" s="32">
        <v>107621</v>
      </c>
      <c r="O95" s="32" t="s">
        <v>19</v>
      </c>
      <c r="P95" s="32">
        <v>385264</v>
      </c>
      <c r="Q95" s="32" t="s">
        <v>19</v>
      </c>
      <c r="R95" s="33">
        <v>14448</v>
      </c>
      <c r="S95" s="35">
        <f>(G95/F95)*100</f>
        <v>92.300451792572474</v>
      </c>
      <c r="T95" s="36">
        <f>(H95/G95)*100</f>
        <v>82.784344389026799</v>
      </c>
      <c r="U95" s="36"/>
      <c r="V95" s="71"/>
      <c r="W95" s="38"/>
      <c r="X95" s="39"/>
      <c r="Y95" s="39"/>
      <c r="Z95" s="39"/>
      <c r="AA95" s="39"/>
      <c r="AB95" s="39"/>
      <c r="AC95" s="39"/>
      <c r="AD95" s="39"/>
      <c r="AE95" s="39"/>
      <c r="AF95" s="40"/>
    </row>
    <row r="96" spans="1:32" s="21" customFormat="1" x14ac:dyDescent="0.25">
      <c r="A96" s="26"/>
      <c r="B96" s="27" t="s">
        <v>29</v>
      </c>
      <c r="C96" s="28"/>
      <c r="D96" s="29"/>
      <c r="E96" s="30"/>
      <c r="F96" s="28"/>
      <c r="G96" s="29"/>
      <c r="H96" s="32">
        <v>2186817</v>
      </c>
      <c r="I96" s="33">
        <v>2186780</v>
      </c>
      <c r="J96" s="31">
        <v>2142777</v>
      </c>
      <c r="K96" s="32">
        <v>627498</v>
      </c>
      <c r="L96" s="32">
        <v>293625</v>
      </c>
      <c r="M96" s="34">
        <v>139605</v>
      </c>
      <c r="N96" s="32">
        <v>258685</v>
      </c>
      <c r="O96" s="32">
        <v>261656</v>
      </c>
      <c r="P96" s="32">
        <v>385262</v>
      </c>
      <c r="Q96" s="32">
        <v>161998</v>
      </c>
      <c r="R96" s="33">
        <v>14448</v>
      </c>
      <c r="S96" s="35"/>
      <c r="T96" s="36"/>
      <c r="U96" s="36">
        <f t="shared" ref="U96" si="27">(I96/H96)*100</f>
        <v>99.998308043151312</v>
      </c>
      <c r="V96" s="71">
        <f>(I96/(F94+F95))*100</f>
        <v>74.027583550072833</v>
      </c>
      <c r="W96" s="38"/>
      <c r="X96" s="39"/>
      <c r="Y96" s="39"/>
      <c r="Z96" s="39"/>
      <c r="AA96" s="39"/>
      <c r="AB96" s="39"/>
      <c r="AC96" s="39"/>
      <c r="AD96" s="39"/>
      <c r="AE96" s="39"/>
      <c r="AF96" s="40"/>
    </row>
    <row r="97" spans="1:32" s="21" customFormat="1" x14ac:dyDescent="0.25">
      <c r="A97" s="41">
        <v>20121040</v>
      </c>
      <c r="B97" s="42" t="s">
        <v>14</v>
      </c>
      <c r="C97" s="43" t="s">
        <v>33</v>
      </c>
      <c r="D97" s="44">
        <v>5</v>
      </c>
      <c r="E97" s="45" t="s">
        <v>25</v>
      </c>
      <c r="F97" s="46">
        <v>1963078</v>
      </c>
      <c r="G97" s="47">
        <v>1687345</v>
      </c>
      <c r="H97" s="47">
        <v>1241506</v>
      </c>
      <c r="I97" s="48"/>
      <c r="J97" s="46">
        <v>1239439</v>
      </c>
      <c r="K97" s="47">
        <v>326965</v>
      </c>
      <c r="L97" s="47">
        <v>24240</v>
      </c>
      <c r="M97" s="49">
        <v>368</v>
      </c>
      <c r="N97" s="47">
        <v>9016</v>
      </c>
      <c r="O97" s="47">
        <v>866517</v>
      </c>
      <c r="P97" s="47" t="s">
        <v>19</v>
      </c>
      <c r="Q97" s="47">
        <v>12333</v>
      </c>
      <c r="R97" s="48" t="s">
        <v>19</v>
      </c>
      <c r="S97" s="50">
        <f>(G97/F97)*100</f>
        <v>85.954047674111777</v>
      </c>
      <c r="T97" s="51">
        <f>(H97/G97)*100</f>
        <v>73.577484154100077</v>
      </c>
      <c r="U97" s="51"/>
      <c r="V97" s="73"/>
      <c r="W97" s="53" t="s">
        <v>726</v>
      </c>
      <c r="X97" s="54" t="s">
        <v>727</v>
      </c>
      <c r="Y97" s="54" t="s">
        <v>728</v>
      </c>
      <c r="Z97" s="54" t="s">
        <v>729</v>
      </c>
      <c r="AA97" s="54" t="s">
        <v>730</v>
      </c>
      <c r="AB97" s="54" t="s">
        <v>731</v>
      </c>
      <c r="AC97" s="54" t="s">
        <v>732</v>
      </c>
      <c r="AD97" s="54" t="s">
        <v>733</v>
      </c>
      <c r="AE97" s="54" t="s">
        <v>734</v>
      </c>
      <c r="AF97" s="55" t="s">
        <v>735</v>
      </c>
    </row>
    <row r="98" spans="1:32" s="21" customFormat="1" x14ac:dyDescent="0.25">
      <c r="A98" s="41"/>
      <c r="B98" s="42" t="s">
        <v>17</v>
      </c>
      <c r="C98" s="43" t="s">
        <v>33</v>
      </c>
      <c r="D98" s="44">
        <v>5</v>
      </c>
      <c r="E98" s="45" t="s">
        <v>26</v>
      </c>
      <c r="F98" s="46">
        <v>3403773</v>
      </c>
      <c r="G98" s="47">
        <v>2953818</v>
      </c>
      <c r="H98" s="47">
        <v>2273638</v>
      </c>
      <c r="I98" s="48"/>
      <c r="J98" s="46">
        <v>2267696</v>
      </c>
      <c r="K98" s="47">
        <v>786803</v>
      </c>
      <c r="L98" s="47">
        <v>144159</v>
      </c>
      <c r="M98" s="49">
        <v>298112</v>
      </c>
      <c r="N98" s="47">
        <v>107661</v>
      </c>
      <c r="O98" s="47" t="s">
        <v>19</v>
      </c>
      <c r="P98" s="47">
        <v>832710</v>
      </c>
      <c r="Q98" s="47" t="s">
        <v>19</v>
      </c>
      <c r="R98" s="48">
        <v>98251</v>
      </c>
      <c r="S98" s="50">
        <f>(G98/F98)*100</f>
        <v>86.780698947902806</v>
      </c>
      <c r="T98" s="51">
        <f>(H98/G98)*100</f>
        <v>76.972853439176006</v>
      </c>
      <c r="U98" s="51"/>
      <c r="V98" s="73"/>
      <c r="W98" s="53"/>
      <c r="X98" s="54"/>
      <c r="Y98" s="54"/>
      <c r="Z98" s="54"/>
      <c r="AA98" s="54"/>
      <c r="AB98" s="54"/>
      <c r="AC98" s="54"/>
      <c r="AD98" s="54"/>
      <c r="AE98" s="54"/>
      <c r="AF98" s="55"/>
    </row>
    <row r="99" spans="1:32" s="21" customFormat="1" x14ac:dyDescent="0.25">
      <c r="A99" s="41"/>
      <c r="B99" s="42" t="s">
        <v>29</v>
      </c>
      <c r="C99" s="43"/>
      <c r="D99" s="44"/>
      <c r="E99" s="45"/>
      <c r="F99" s="43"/>
      <c r="G99" s="44"/>
      <c r="H99" s="47">
        <v>3515144</v>
      </c>
      <c r="I99" s="48">
        <v>3515130</v>
      </c>
      <c r="J99" s="46">
        <v>3507110</v>
      </c>
      <c r="K99" s="47">
        <v>1113766</v>
      </c>
      <c r="L99" s="47">
        <v>168397</v>
      </c>
      <c r="M99" s="49">
        <v>298470</v>
      </c>
      <c r="N99" s="47">
        <v>116676</v>
      </c>
      <c r="O99" s="47">
        <v>866517</v>
      </c>
      <c r="P99" s="47">
        <v>832703</v>
      </c>
      <c r="Q99" s="47">
        <v>12333</v>
      </c>
      <c r="R99" s="48">
        <v>98248</v>
      </c>
      <c r="S99" s="50"/>
      <c r="T99" s="51"/>
      <c r="U99" s="51">
        <f t="shared" ref="U99" si="28">(I99/H99)*100</f>
        <v>99.999601723286446</v>
      </c>
      <c r="V99" s="73">
        <f>(I99/(F97+F98))*100</f>
        <v>65.497067088316783</v>
      </c>
      <c r="W99" s="53"/>
      <c r="X99" s="54"/>
      <c r="Y99" s="54"/>
      <c r="Z99" s="54"/>
      <c r="AA99" s="54"/>
      <c r="AB99" s="54"/>
      <c r="AC99" s="54"/>
      <c r="AD99" s="54"/>
      <c r="AE99" s="54"/>
      <c r="AF99" s="55"/>
    </row>
    <row r="100" spans="1:32" s="21" customFormat="1" x14ac:dyDescent="0.25">
      <c r="A100" s="26">
        <v>20121105</v>
      </c>
      <c r="B100" s="27" t="s">
        <v>14</v>
      </c>
      <c r="C100" s="28" t="s">
        <v>16</v>
      </c>
      <c r="D100" s="29">
        <v>1</v>
      </c>
      <c r="E100" s="30" t="s">
        <v>21</v>
      </c>
      <c r="F100" s="31">
        <v>1139790</v>
      </c>
      <c r="G100" s="32">
        <v>878654</v>
      </c>
      <c r="H100" s="32">
        <v>696126</v>
      </c>
      <c r="I100" s="33"/>
      <c r="J100" s="31">
        <v>690846</v>
      </c>
      <c r="K100" s="32">
        <v>27208</v>
      </c>
      <c r="L100" s="32">
        <v>301251</v>
      </c>
      <c r="M100" s="34">
        <v>41684</v>
      </c>
      <c r="N100" s="32">
        <v>183283</v>
      </c>
      <c r="O100" s="32">
        <v>28379</v>
      </c>
      <c r="P100" s="32" t="s">
        <v>19</v>
      </c>
      <c r="Q100" s="32">
        <v>109040</v>
      </c>
      <c r="R100" s="33" t="s">
        <v>19</v>
      </c>
      <c r="S100" s="35">
        <f>(G100/F100)*100</f>
        <v>77.089112906763518</v>
      </c>
      <c r="T100" s="36">
        <f>(H100/G100)*100</f>
        <v>79.226407664450392</v>
      </c>
      <c r="U100" s="36"/>
      <c r="V100" s="71"/>
      <c r="W100" s="38" t="s">
        <v>746</v>
      </c>
      <c r="X100" s="39" t="s">
        <v>747</v>
      </c>
      <c r="Y100" s="39" t="s">
        <v>748</v>
      </c>
      <c r="Z100" s="39" t="s">
        <v>749</v>
      </c>
      <c r="AA100" s="39" t="s">
        <v>750</v>
      </c>
      <c r="AB100" s="39" t="s">
        <v>751</v>
      </c>
      <c r="AC100" s="39" t="s">
        <v>752</v>
      </c>
      <c r="AD100" s="39" t="s">
        <v>753</v>
      </c>
      <c r="AE100" s="39" t="s">
        <v>754</v>
      </c>
      <c r="AF100" s="40" t="s">
        <v>755</v>
      </c>
    </row>
    <row r="101" spans="1:32" s="21" customFormat="1" x14ac:dyDescent="0.25">
      <c r="A101" s="26"/>
      <c r="B101" s="27" t="s">
        <v>17</v>
      </c>
      <c r="C101" s="28" t="s">
        <v>16</v>
      </c>
      <c r="D101" s="29">
        <v>1</v>
      </c>
      <c r="E101" s="30" t="s">
        <v>22</v>
      </c>
      <c r="F101" s="31">
        <v>1148996</v>
      </c>
      <c r="G101" s="32">
        <v>887648</v>
      </c>
      <c r="H101" s="32">
        <v>712039</v>
      </c>
      <c r="I101" s="33"/>
      <c r="J101" s="31">
        <v>706931</v>
      </c>
      <c r="K101" s="32">
        <v>174956</v>
      </c>
      <c r="L101" s="32">
        <v>111684</v>
      </c>
      <c r="M101" s="34">
        <v>1549</v>
      </c>
      <c r="N101" s="32">
        <v>136430</v>
      </c>
      <c r="O101" s="32" t="s">
        <v>19</v>
      </c>
      <c r="P101" s="32">
        <v>195398</v>
      </c>
      <c r="Q101" s="32" t="s">
        <v>19</v>
      </c>
      <c r="R101" s="33">
        <v>86907</v>
      </c>
      <c r="S101" s="35">
        <f>(G101/F101)*100</f>
        <v>77.254228909413087</v>
      </c>
      <c r="T101" s="36">
        <f>(H101/G101)*100</f>
        <v>80.216369551894445</v>
      </c>
      <c r="U101" s="36"/>
      <c r="V101" s="71"/>
      <c r="W101" s="38"/>
      <c r="X101" s="39"/>
      <c r="Y101" s="39"/>
      <c r="Z101" s="39"/>
      <c r="AA101" s="39"/>
      <c r="AB101" s="39"/>
      <c r="AC101" s="39"/>
      <c r="AD101" s="39"/>
      <c r="AE101" s="39"/>
      <c r="AF101" s="40"/>
    </row>
    <row r="102" spans="1:32" s="21" customFormat="1" x14ac:dyDescent="0.25">
      <c r="A102" s="26"/>
      <c r="B102" s="27" t="s">
        <v>29</v>
      </c>
      <c r="C102" s="28"/>
      <c r="D102" s="29"/>
      <c r="E102" s="30"/>
      <c r="F102" s="31"/>
      <c r="G102" s="32"/>
      <c r="H102" s="32">
        <v>1408165</v>
      </c>
      <c r="I102" s="33">
        <v>1407262</v>
      </c>
      <c r="J102" s="31">
        <v>1397775</v>
      </c>
      <c r="K102" s="32">
        <v>202164</v>
      </c>
      <c r="L102" s="32">
        <v>412935</v>
      </c>
      <c r="M102" s="32">
        <v>43233</v>
      </c>
      <c r="N102" s="32">
        <v>319713</v>
      </c>
      <c r="O102" s="32">
        <v>28385</v>
      </c>
      <c r="P102" s="32">
        <v>195397</v>
      </c>
      <c r="Q102" s="32">
        <v>109041</v>
      </c>
      <c r="R102" s="33">
        <v>86907</v>
      </c>
      <c r="S102" s="35"/>
      <c r="T102" s="36"/>
      <c r="U102" s="36">
        <f t="shared" ref="U102" si="29">(I102/H102)*100</f>
        <v>99.935873992039276</v>
      </c>
      <c r="V102" s="71">
        <f>(I102/(F100+F101))*100</f>
        <v>61.485084232427148</v>
      </c>
      <c r="W102" s="38"/>
      <c r="X102" s="39"/>
      <c r="Y102" s="39"/>
      <c r="Z102" s="39"/>
      <c r="AA102" s="39"/>
      <c r="AB102" s="39"/>
      <c r="AC102" s="39"/>
      <c r="AD102" s="39"/>
      <c r="AE102" s="39"/>
      <c r="AF102" s="40"/>
    </row>
    <row r="103" spans="1:32" s="21" customFormat="1" x14ac:dyDescent="0.25">
      <c r="A103" s="41">
        <v>20121116</v>
      </c>
      <c r="B103" s="42" t="s">
        <v>14</v>
      </c>
      <c r="C103" s="43" t="s">
        <v>16</v>
      </c>
      <c r="D103" s="44">
        <v>7</v>
      </c>
      <c r="E103" s="45" t="s">
        <v>34</v>
      </c>
      <c r="F103" s="46">
        <v>3443841</v>
      </c>
      <c r="G103" s="47">
        <v>3157478</v>
      </c>
      <c r="H103" s="47">
        <v>2399367</v>
      </c>
      <c r="I103" s="48"/>
      <c r="J103" s="46">
        <v>2386349</v>
      </c>
      <c r="K103" s="47">
        <v>521795</v>
      </c>
      <c r="L103" s="47">
        <v>167035</v>
      </c>
      <c r="M103" s="47">
        <v>990582</v>
      </c>
      <c r="N103" s="47">
        <v>26941</v>
      </c>
      <c r="O103" s="47">
        <v>604384</v>
      </c>
      <c r="P103" s="47" t="s">
        <v>19</v>
      </c>
      <c r="Q103" s="47">
        <v>75312</v>
      </c>
      <c r="R103" s="48" t="s">
        <v>19</v>
      </c>
      <c r="S103" s="50">
        <f>(G103/F103)*100</f>
        <v>91.684778710747679</v>
      </c>
      <c r="T103" s="51">
        <f>(H103/G103)*100</f>
        <v>75.989983144775678</v>
      </c>
      <c r="U103" s="51"/>
      <c r="V103" s="73"/>
      <c r="W103" s="53" t="s">
        <v>756</v>
      </c>
      <c r="X103" s="54" t="s">
        <v>757</v>
      </c>
      <c r="Y103" s="54" t="s">
        <v>758</v>
      </c>
      <c r="Z103" s="54" t="s">
        <v>759</v>
      </c>
      <c r="AA103" s="54" t="s">
        <v>760</v>
      </c>
      <c r="AB103" s="54" t="s">
        <v>761</v>
      </c>
      <c r="AC103" s="54" t="s">
        <v>762</v>
      </c>
      <c r="AD103" s="54" t="s">
        <v>763</v>
      </c>
      <c r="AE103" s="54" t="s">
        <v>764</v>
      </c>
      <c r="AF103" s="55" t="s">
        <v>765</v>
      </c>
    </row>
    <row r="104" spans="1:32" s="21" customFormat="1" x14ac:dyDescent="0.25">
      <c r="A104" s="41"/>
      <c r="B104" s="42" t="s">
        <v>17</v>
      </c>
      <c r="C104" s="43" t="s">
        <v>16</v>
      </c>
      <c r="D104" s="44">
        <v>7</v>
      </c>
      <c r="E104" s="45" t="s">
        <v>35</v>
      </c>
      <c r="F104" s="46">
        <v>2818177</v>
      </c>
      <c r="G104" s="47">
        <v>2607849</v>
      </c>
      <c r="H104" s="47">
        <v>2043243</v>
      </c>
      <c r="I104" s="48"/>
      <c r="J104" s="46">
        <v>2034246</v>
      </c>
      <c r="K104" s="47">
        <v>410039</v>
      </c>
      <c r="L104" s="47">
        <v>420361</v>
      </c>
      <c r="M104" s="47">
        <v>149010</v>
      </c>
      <c r="N104" s="47">
        <v>310471</v>
      </c>
      <c r="O104" s="47" t="s">
        <v>19</v>
      </c>
      <c r="P104" s="47">
        <v>518641</v>
      </c>
      <c r="Q104" s="47" t="s">
        <v>19</v>
      </c>
      <c r="R104" s="48">
        <v>225721</v>
      </c>
      <c r="S104" s="50">
        <f>(G104/F104)*100</f>
        <v>92.536735627322201</v>
      </c>
      <c r="T104" s="51">
        <f>(H104/G104)*100</f>
        <v>78.349743409223464</v>
      </c>
      <c r="U104" s="51"/>
      <c r="V104" s="73"/>
      <c r="W104" s="53"/>
      <c r="X104" s="54"/>
      <c r="Y104" s="54"/>
      <c r="Z104" s="54"/>
      <c r="AA104" s="54"/>
      <c r="AB104" s="54"/>
      <c r="AC104" s="54"/>
      <c r="AD104" s="54"/>
      <c r="AE104" s="54"/>
      <c r="AF104" s="55"/>
    </row>
    <row r="105" spans="1:32" s="21" customFormat="1" x14ac:dyDescent="0.25">
      <c r="A105" s="41"/>
      <c r="B105" s="42" t="s">
        <v>29</v>
      </c>
      <c r="C105" s="43"/>
      <c r="D105" s="44"/>
      <c r="E105" s="45"/>
      <c r="F105" s="46"/>
      <c r="G105" s="47"/>
      <c r="H105" s="47">
        <v>4442610</v>
      </c>
      <c r="I105" s="48">
        <v>4430271</v>
      </c>
      <c r="J105" s="46">
        <v>4420580</v>
      </c>
      <c r="K105" s="47">
        <v>931832</v>
      </c>
      <c r="L105" s="47">
        <v>587393</v>
      </c>
      <c r="M105" s="47">
        <v>1139586</v>
      </c>
      <c r="N105" s="47">
        <v>337411</v>
      </c>
      <c r="O105" s="47">
        <v>604685</v>
      </c>
      <c r="P105" s="47">
        <v>518638</v>
      </c>
      <c r="Q105" s="47">
        <v>75314</v>
      </c>
      <c r="R105" s="48">
        <v>225721</v>
      </c>
      <c r="S105" s="50"/>
      <c r="T105" s="51"/>
      <c r="U105" s="51">
        <f t="shared" ref="U105" si="30">(I105/H105)*100</f>
        <v>99.722257861932519</v>
      </c>
      <c r="V105" s="73">
        <f>(I105/(F103+F104))*100</f>
        <v>70.748295517515274</v>
      </c>
      <c r="W105" s="53"/>
      <c r="X105" s="54"/>
      <c r="Y105" s="54"/>
      <c r="Z105" s="54"/>
      <c r="AA105" s="54"/>
      <c r="AB105" s="54"/>
      <c r="AC105" s="54"/>
      <c r="AD105" s="54"/>
      <c r="AE105" s="54"/>
      <c r="AF105" s="55"/>
    </row>
    <row r="106" spans="1:32" s="21" customFormat="1" x14ac:dyDescent="0.25">
      <c r="A106" s="26">
        <v>20121156</v>
      </c>
      <c r="B106" s="27" t="s">
        <v>14</v>
      </c>
      <c r="C106" s="28" t="s">
        <v>16</v>
      </c>
      <c r="D106" s="29">
        <v>6</v>
      </c>
      <c r="E106" s="30" t="s">
        <v>34</v>
      </c>
      <c r="F106" s="31">
        <v>2115463</v>
      </c>
      <c r="G106" s="32">
        <v>1945848</v>
      </c>
      <c r="H106" s="32">
        <v>1496196</v>
      </c>
      <c r="I106" s="33"/>
      <c r="J106" s="31">
        <v>1479965</v>
      </c>
      <c r="K106" s="32">
        <v>361743</v>
      </c>
      <c r="L106" s="32">
        <v>123647</v>
      </c>
      <c r="M106" s="32">
        <v>431070</v>
      </c>
      <c r="N106" s="32">
        <v>81200</v>
      </c>
      <c r="O106" s="32">
        <v>428893</v>
      </c>
      <c r="P106" s="32" t="s">
        <v>19</v>
      </c>
      <c r="Q106" s="32">
        <v>53410</v>
      </c>
      <c r="R106" s="72" t="s">
        <v>19</v>
      </c>
      <c r="S106" s="35">
        <f>(G106/F106)*100</f>
        <v>91.982133462036444</v>
      </c>
      <c r="T106" s="36">
        <f>(H106/G106)*100</f>
        <v>76.891720216584233</v>
      </c>
      <c r="U106" s="36"/>
      <c r="V106" s="71"/>
      <c r="W106" s="38" t="s">
        <v>766</v>
      </c>
      <c r="X106" s="39" t="s">
        <v>767</v>
      </c>
      <c r="Y106" s="39" t="s">
        <v>768</v>
      </c>
      <c r="Z106" s="39" t="s">
        <v>769</v>
      </c>
      <c r="AA106" s="39" t="s">
        <v>770</v>
      </c>
      <c r="AB106" s="39" t="s">
        <v>771</v>
      </c>
      <c r="AC106" s="39" t="s">
        <v>772</v>
      </c>
      <c r="AD106" s="39" t="s">
        <v>773</v>
      </c>
      <c r="AE106" s="39" t="s">
        <v>774</v>
      </c>
      <c r="AF106" s="40" t="s">
        <v>775</v>
      </c>
    </row>
    <row r="107" spans="1:32" s="21" customFormat="1" x14ac:dyDescent="0.25">
      <c r="A107" s="26"/>
      <c r="B107" s="27" t="s">
        <v>17</v>
      </c>
      <c r="C107" s="28" t="s">
        <v>16</v>
      </c>
      <c r="D107" s="29">
        <v>6</v>
      </c>
      <c r="E107" s="30" t="s">
        <v>35</v>
      </c>
      <c r="F107" s="31">
        <v>1521967</v>
      </c>
      <c r="G107" s="32">
        <v>1406003</v>
      </c>
      <c r="H107" s="32">
        <v>1066923</v>
      </c>
      <c r="I107" s="33"/>
      <c r="J107" s="31">
        <v>1058217</v>
      </c>
      <c r="K107" s="32">
        <v>359719</v>
      </c>
      <c r="L107" s="34">
        <v>2159</v>
      </c>
      <c r="M107" s="32">
        <v>301687</v>
      </c>
      <c r="N107" s="34">
        <v>906</v>
      </c>
      <c r="O107" s="32" t="s">
        <v>19</v>
      </c>
      <c r="P107" s="32">
        <v>392561</v>
      </c>
      <c r="Q107" s="32" t="s">
        <v>19</v>
      </c>
      <c r="R107" s="72" t="s">
        <v>20</v>
      </c>
      <c r="S107" s="35">
        <f>(G107/F107)*100</f>
        <v>92.380649514739815</v>
      </c>
      <c r="T107" s="36">
        <f>(H107/G107)*100</f>
        <v>75.883408499128379</v>
      </c>
      <c r="U107" s="36"/>
      <c r="V107" s="71"/>
      <c r="W107" s="38"/>
      <c r="X107" s="39"/>
      <c r="Y107" s="39"/>
      <c r="Z107" s="39"/>
      <c r="AA107" s="39"/>
      <c r="AB107" s="39"/>
      <c r="AC107" s="39"/>
      <c r="AD107" s="39"/>
      <c r="AE107" s="39"/>
      <c r="AF107" s="40"/>
    </row>
    <row r="108" spans="1:32" s="21" customFormat="1" x14ac:dyDescent="0.25">
      <c r="A108" s="26"/>
      <c r="B108" s="27" t="s">
        <v>29</v>
      </c>
      <c r="C108" s="28"/>
      <c r="D108" s="29"/>
      <c r="E108" s="30"/>
      <c r="F108" s="31"/>
      <c r="G108" s="32"/>
      <c r="H108" s="32">
        <v>2563119</v>
      </c>
      <c r="I108" s="33">
        <v>2545895</v>
      </c>
      <c r="J108" s="31">
        <v>2538137</v>
      </c>
      <c r="K108" s="32">
        <v>721455</v>
      </c>
      <c r="L108" s="32">
        <v>125806</v>
      </c>
      <c r="M108" s="32">
        <v>732751</v>
      </c>
      <c r="N108" s="34">
        <v>82106</v>
      </c>
      <c r="O108" s="32">
        <v>428894</v>
      </c>
      <c r="P108" s="32">
        <v>392529</v>
      </c>
      <c r="Q108" s="32">
        <v>53414</v>
      </c>
      <c r="R108" s="72"/>
      <c r="S108" s="35"/>
      <c r="T108" s="36"/>
      <c r="U108" s="36">
        <f t="shared" ref="U108" si="31">(I108/H108)*100</f>
        <v>99.328006229909732</v>
      </c>
      <c r="V108" s="71">
        <f>(I108/(F106+F107))*100</f>
        <v>69.991587466975318</v>
      </c>
      <c r="W108" s="38"/>
      <c r="X108" s="39"/>
      <c r="Y108" s="39"/>
      <c r="Z108" s="39"/>
      <c r="AA108" s="39"/>
      <c r="AB108" s="39"/>
      <c r="AC108" s="39"/>
      <c r="AD108" s="39"/>
      <c r="AE108" s="39"/>
      <c r="AF108" s="40"/>
    </row>
    <row r="109" spans="1:32" s="21" customFormat="1" x14ac:dyDescent="0.25">
      <c r="A109" s="41">
        <v>20121201</v>
      </c>
      <c r="B109" s="42" t="s">
        <v>14</v>
      </c>
      <c r="C109" s="43" t="s">
        <v>16</v>
      </c>
      <c r="D109" s="44">
        <v>5</v>
      </c>
      <c r="E109" s="45" t="s">
        <v>34</v>
      </c>
      <c r="F109" s="46">
        <v>2020487</v>
      </c>
      <c r="G109" s="47">
        <v>1813362</v>
      </c>
      <c r="H109" s="47">
        <v>1455521</v>
      </c>
      <c r="I109" s="48"/>
      <c r="J109" s="46">
        <v>1447942</v>
      </c>
      <c r="K109" s="47">
        <v>600691</v>
      </c>
      <c r="L109" s="47">
        <v>10889</v>
      </c>
      <c r="M109" s="47">
        <v>546166</v>
      </c>
      <c r="N109" s="49">
        <v>7852</v>
      </c>
      <c r="O109" s="47">
        <v>278364</v>
      </c>
      <c r="P109" s="47" t="s">
        <v>19</v>
      </c>
      <c r="Q109" s="49">
        <v>3978</v>
      </c>
      <c r="R109" s="74" t="s">
        <v>19</v>
      </c>
      <c r="S109" s="50">
        <f>(G109/F109)*100</f>
        <v>89.74875859136931</v>
      </c>
      <c r="T109" s="51">
        <f>(H109/G109)*100</f>
        <v>80.266433288003171</v>
      </c>
      <c r="U109" s="51"/>
      <c r="V109" s="73"/>
      <c r="W109" s="53"/>
      <c r="X109" s="54"/>
      <c r="Y109" s="54"/>
      <c r="Z109" s="54"/>
      <c r="AA109" s="54"/>
      <c r="AB109" s="54"/>
      <c r="AC109" s="54"/>
      <c r="AD109" s="54"/>
      <c r="AE109" s="54"/>
      <c r="AF109" s="55"/>
    </row>
    <row r="110" spans="1:32" s="21" customFormat="1" x14ac:dyDescent="0.25">
      <c r="A110" s="41"/>
      <c r="B110" s="42" t="s">
        <v>17</v>
      </c>
      <c r="C110" s="43" t="s">
        <v>16</v>
      </c>
      <c r="D110" s="44">
        <v>5</v>
      </c>
      <c r="E110" s="45" t="s">
        <v>35</v>
      </c>
      <c r="F110" s="46">
        <v>606292</v>
      </c>
      <c r="G110" s="47">
        <v>540974</v>
      </c>
      <c r="H110" s="47">
        <v>433150</v>
      </c>
      <c r="I110" s="48"/>
      <c r="J110" s="46">
        <v>417157</v>
      </c>
      <c r="K110" s="47">
        <v>79427</v>
      </c>
      <c r="L110" s="47">
        <v>29584</v>
      </c>
      <c r="M110" s="47">
        <v>14520</v>
      </c>
      <c r="N110" s="49">
        <v>162500</v>
      </c>
      <c r="O110" s="47" t="s">
        <v>19</v>
      </c>
      <c r="P110" s="47">
        <v>130943</v>
      </c>
      <c r="Q110" s="49" t="s">
        <v>19</v>
      </c>
      <c r="R110" s="74" t="s">
        <v>20</v>
      </c>
      <c r="S110" s="50">
        <f>(G110/F110)*100</f>
        <v>89.226643267600423</v>
      </c>
      <c r="T110" s="51">
        <f>(H110/G110)*100</f>
        <v>80.068543035339957</v>
      </c>
      <c r="U110" s="51"/>
      <c r="V110" s="73"/>
      <c r="W110" s="53"/>
      <c r="X110" s="54"/>
      <c r="Y110" s="54"/>
      <c r="Z110" s="54"/>
      <c r="AA110" s="54"/>
      <c r="AB110" s="54"/>
      <c r="AC110" s="54"/>
      <c r="AD110" s="54"/>
      <c r="AE110" s="54"/>
      <c r="AF110" s="55"/>
    </row>
    <row r="111" spans="1:32" s="21" customFormat="1" x14ac:dyDescent="0.25">
      <c r="A111" s="41"/>
      <c r="B111" s="42" t="s">
        <v>29</v>
      </c>
      <c r="C111" s="43"/>
      <c r="D111" s="44"/>
      <c r="E111" s="45"/>
      <c r="F111" s="46"/>
      <c r="G111" s="47"/>
      <c r="H111" s="47">
        <v>1888671</v>
      </c>
      <c r="I111" s="48">
        <v>1885112</v>
      </c>
      <c r="J111" s="46">
        <v>1865099</v>
      </c>
      <c r="K111" s="47">
        <v>680118</v>
      </c>
      <c r="L111" s="47">
        <v>40473</v>
      </c>
      <c r="M111" s="47">
        <v>560686</v>
      </c>
      <c r="N111" s="49">
        <v>170352</v>
      </c>
      <c r="O111" s="47">
        <v>278373</v>
      </c>
      <c r="P111" s="47">
        <v>130943</v>
      </c>
      <c r="Q111" s="49">
        <v>3981</v>
      </c>
      <c r="R111" s="74"/>
      <c r="S111" s="50"/>
      <c r="T111" s="51"/>
      <c r="U111" s="51">
        <f t="shared" ref="U111" si="32">(I111/H111)*100</f>
        <v>99.811560615903986</v>
      </c>
      <c r="V111" s="73">
        <f>(I111/(F109+F110))*100</f>
        <v>71.765154205968599</v>
      </c>
      <c r="W111" s="53"/>
      <c r="X111" s="54"/>
      <c r="Y111" s="54"/>
      <c r="Z111" s="54"/>
      <c r="AA111" s="54"/>
      <c r="AB111" s="54"/>
      <c r="AC111" s="54"/>
      <c r="AD111" s="54"/>
      <c r="AE111" s="54"/>
      <c r="AF111" s="55"/>
    </row>
    <row r="112" spans="1:32" s="1" customFormat="1" x14ac:dyDescent="0.25">
      <c r="A112" s="26">
        <v>20121208</v>
      </c>
      <c r="B112" s="27" t="s">
        <v>14</v>
      </c>
      <c r="C112" s="28" t="s">
        <v>16</v>
      </c>
      <c r="D112" s="29">
        <v>7</v>
      </c>
      <c r="E112" s="30" t="s">
        <v>21</v>
      </c>
      <c r="F112" s="31">
        <v>948883</v>
      </c>
      <c r="G112" s="32">
        <v>874617</v>
      </c>
      <c r="H112" s="32">
        <v>628454</v>
      </c>
      <c r="I112" s="33"/>
      <c r="J112" s="31">
        <v>621786</v>
      </c>
      <c r="K112" s="32">
        <v>94229</v>
      </c>
      <c r="L112" s="32">
        <v>111750</v>
      </c>
      <c r="M112" s="32">
        <v>146922</v>
      </c>
      <c r="N112" s="34">
        <v>91968</v>
      </c>
      <c r="O112" s="32">
        <v>111166</v>
      </c>
      <c r="P112" s="32" t="s">
        <v>19</v>
      </c>
      <c r="Q112" s="32">
        <v>65750</v>
      </c>
      <c r="R112" s="33" t="s">
        <v>19</v>
      </c>
      <c r="S112" s="35">
        <f>(G112/F112)*100</f>
        <v>92.173323792290518</v>
      </c>
      <c r="T112" s="36">
        <f>(H112/G112)*100</f>
        <v>71.854766143351895</v>
      </c>
      <c r="U112" s="36"/>
      <c r="V112" s="71"/>
      <c r="W112" s="38" t="s">
        <v>776</v>
      </c>
      <c r="X112" s="39" t="s">
        <v>777</v>
      </c>
      <c r="Y112" s="39" t="s">
        <v>778</v>
      </c>
      <c r="Z112" s="39" t="s">
        <v>779</v>
      </c>
      <c r="AA112" s="39" t="s">
        <v>780</v>
      </c>
      <c r="AB112" s="39" t="s">
        <v>781</v>
      </c>
      <c r="AC112" s="39" t="s">
        <v>782</v>
      </c>
      <c r="AD112" s="39" t="s">
        <v>783</v>
      </c>
      <c r="AE112" s="39" t="s">
        <v>784</v>
      </c>
      <c r="AF112" s="40" t="s">
        <v>785</v>
      </c>
    </row>
    <row r="113" spans="1:32" s="1" customFormat="1" x14ac:dyDescent="0.25">
      <c r="A113" s="26"/>
      <c r="B113" s="27" t="s">
        <v>17</v>
      </c>
      <c r="C113" s="28" t="s">
        <v>16</v>
      </c>
      <c r="D113" s="29">
        <v>7</v>
      </c>
      <c r="E113" s="30" t="s">
        <v>22</v>
      </c>
      <c r="F113" s="31">
        <v>2214088</v>
      </c>
      <c r="G113" s="32">
        <v>2042932</v>
      </c>
      <c r="H113" s="32">
        <v>1542114</v>
      </c>
      <c r="I113" s="33"/>
      <c r="J113" s="31">
        <v>1531687</v>
      </c>
      <c r="K113" s="32">
        <v>377433</v>
      </c>
      <c r="L113" s="32">
        <v>208550</v>
      </c>
      <c r="M113" s="32">
        <v>270787</v>
      </c>
      <c r="N113" s="34">
        <v>149244</v>
      </c>
      <c r="O113" s="32" t="s">
        <v>19</v>
      </c>
      <c r="P113" s="32">
        <v>400659</v>
      </c>
      <c r="Q113" s="32" t="s">
        <v>19</v>
      </c>
      <c r="R113" s="33">
        <v>125012</v>
      </c>
      <c r="S113" s="35">
        <f>(G113/F113)*100</f>
        <v>92.269683951134724</v>
      </c>
      <c r="T113" s="36">
        <f>(H113/G113)*100</f>
        <v>75.48533186616099</v>
      </c>
      <c r="U113" s="36"/>
      <c r="V113" s="71"/>
      <c r="W113" s="38"/>
      <c r="X113" s="39"/>
      <c r="Y113" s="39"/>
      <c r="Z113" s="39"/>
      <c r="AA113" s="39"/>
      <c r="AB113" s="39"/>
      <c r="AC113" s="39"/>
      <c r="AD113" s="39"/>
      <c r="AE113" s="39"/>
      <c r="AF113" s="40"/>
    </row>
    <row r="114" spans="1:32" s="1" customFormat="1" x14ac:dyDescent="0.25">
      <c r="A114" s="26"/>
      <c r="B114" s="27" t="s">
        <v>29</v>
      </c>
      <c r="C114" s="28"/>
      <c r="D114" s="29"/>
      <c r="E114" s="30"/>
      <c r="F114" s="31"/>
      <c r="G114" s="32"/>
      <c r="H114" s="32">
        <v>2170568</v>
      </c>
      <c r="I114" s="33">
        <v>2161787</v>
      </c>
      <c r="J114" s="31">
        <v>2153473</v>
      </c>
      <c r="K114" s="32">
        <v>471662</v>
      </c>
      <c r="L114" s="32">
        <v>320300</v>
      </c>
      <c r="M114" s="32">
        <v>417709</v>
      </c>
      <c r="N114" s="34">
        <v>241212</v>
      </c>
      <c r="O114" s="32">
        <v>111167</v>
      </c>
      <c r="P114" s="32">
        <v>400659</v>
      </c>
      <c r="Q114" s="32">
        <v>65751</v>
      </c>
      <c r="R114" s="33">
        <v>125013</v>
      </c>
      <c r="S114" s="35"/>
      <c r="T114" s="36"/>
      <c r="U114" s="36">
        <f t="shared" ref="U114" si="33">(I114/H114)*100</f>
        <v>99.595451513152327</v>
      </c>
      <c r="V114" s="71">
        <f>(I114/(F112+F113))*100</f>
        <v>68.346722116642866</v>
      </c>
      <c r="W114" s="38"/>
      <c r="X114" s="39"/>
      <c r="Y114" s="39"/>
      <c r="Z114" s="39"/>
      <c r="AA114" s="39"/>
      <c r="AB114" s="39"/>
      <c r="AC114" s="39"/>
      <c r="AD114" s="39"/>
      <c r="AE114" s="39"/>
      <c r="AF114" s="40"/>
    </row>
    <row r="115" spans="1:32" s="1" customFormat="1" x14ac:dyDescent="0.25">
      <c r="A115" s="41">
        <v>20121380</v>
      </c>
      <c r="B115" s="42" t="s">
        <v>14</v>
      </c>
      <c r="C115" s="43" t="s">
        <v>16</v>
      </c>
      <c r="D115" s="44">
        <v>6</v>
      </c>
      <c r="E115" s="45" t="s">
        <v>21</v>
      </c>
      <c r="F115" s="46">
        <v>968936</v>
      </c>
      <c r="G115" s="47">
        <v>876148</v>
      </c>
      <c r="H115" s="47">
        <v>727874</v>
      </c>
      <c r="I115" s="48"/>
      <c r="J115" s="46">
        <v>713295</v>
      </c>
      <c r="K115" s="47">
        <v>84410</v>
      </c>
      <c r="L115" s="47">
        <v>199532</v>
      </c>
      <c r="M115" s="47">
        <v>254784</v>
      </c>
      <c r="N115" s="49">
        <v>60538</v>
      </c>
      <c r="O115" s="47">
        <v>49650</v>
      </c>
      <c r="P115" s="47" t="s">
        <v>19</v>
      </c>
      <c r="Q115" s="47">
        <v>64379</v>
      </c>
      <c r="R115" s="48" t="s">
        <v>19</v>
      </c>
      <c r="S115" s="50">
        <f>(G115/F115)*100</f>
        <v>90.423722516244624</v>
      </c>
      <c r="T115" s="51">
        <f>(H115/G115)*100</f>
        <v>83.076603496212968</v>
      </c>
      <c r="U115" s="51"/>
      <c r="V115" s="73"/>
      <c r="W115" s="53" t="s">
        <v>786</v>
      </c>
      <c r="X115" s="54" t="s">
        <v>787</v>
      </c>
      <c r="Y115" s="54" t="s">
        <v>788</v>
      </c>
      <c r="Z115" s="54" t="s">
        <v>789</v>
      </c>
      <c r="AA115" s="54" t="s">
        <v>790</v>
      </c>
      <c r="AB115" s="54" t="s">
        <v>791</v>
      </c>
      <c r="AC115" s="54" t="s">
        <v>792</v>
      </c>
      <c r="AD115" s="54" t="s">
        <v>793</v>
      </c>
      <c r="AE115" s="54" t="s">
        <v>794</v>
      </c>
      <c r="AF115" s="55" t="s">
        <v>795</v>
      </c>
    </row>
    <row r="116" spans="1:32" s="1" customFormat="1" x14ac:dyDescent="0.25">
      <c r="A116" s="41"/>
      <c r="B116" s="42" t="s">
        <v>17</v>
      </c>
      <c r="C116" s="43" t="s">
        <v>16</v>
      </c>
      <c r="D116" s="44">
        <v>6</v>
      </c>
      <c r="E116" s="45" t="s">
        <v>22</v>
      </c>
      <c r="F116" s="46">
        <v>977085</v>
      </c>
      <c r="G116" s="47">
        <v>877545</v>
      </c>
      <c r="H116" s="47">
        <v>689158</v>
      </c>
      <c r="I116" s="48"/>
      <c r="J116" s="46">
        <v>676823</v>
      </c>
      <c r="K116" s="47">
        <v>99244</v>
      </c>
      <c r="L116" s="47">
        <v>46728</v>
      </c>
      <c r="M116" s="47">
        <v>43574</v>
      </c>
      <c r="N116" s="49">
        <v>152</v>
      </c>
      <c r="O116" s="47" t="s">
        <v>19</v>
      </c>
      <c r="P116" s="47">
        <v>454920</v>
      </c>
      <c r="Q116" s="47" t="s">
        <v>19</v>
      </c>
      <c r="R116" s="48">
        <v>32198</v>
      </c>
      <c r="S116" s="50">
        <f>(G116/F116)*100</f>
        <v>89.812554690738267</v>
      </c>
      <c r="T116" s="51">
        <f>(H116/G116)*100</f>
        <v>78.532496908990424</v>
      </c>
      <c r="U116" s="51"/>
      <c r="V116" s="73"/>
      <c r="W116" s="53"/>
      <c r="X116" s="54"/>
      <c r="Y116" s="54"/>
      <c r="Z116" s="54"/>
      <c r="AA116" s="54"/>
      <c r="AB116" s="54"/>
      <c r="AC116" s="54"/>
      <c r="AD116" s="54"/>
      <c r="AE116" s="54"/>
      <c r="AF116" s="55"/>
    </row>
    <row r="117" spans="1:32" s="1" customFormat="1" x14ac:dyDescent="0.25">
      <c r="A117" s="56"/>
      <c r="B117" s="57" t="s">
        <v>29</v>
      </c>
      <c r="C117" s="58"/>
      <c r="D117" s="59"/>
      <c r="E117" s="60"/>
      <c r="F117" s="61"/>
      <c r="G117" s="62"/>
      <c r="H117" s="62">
        <v>1417032</v>
      </c>
      <c r="I117" s="63">
        <v>1405122</v>
      </c>
      <c r="J117" s="61">
        <v>1390115</v>
      </c>
      <c r="K117" s="62">
        <v>183653</v>
      </c>
      <c r="L117" s="62">
        <v>246260</v>
      </c>
      <c r="M117" s="62">
        <v>298358</v>
      </c>
      <c r="N117" s="62">
        <v>60690</v>
      </c>
      <c r="O117" s="62">
        <v>49655</v>
      </c>
      <c r="P117" s="62">
        <v>454918</v>
      </c>
      <c r="Q117" s="62">
        <v>64381</v>
      </c>
      <c r="R117" s="63">
        <v>32200</v>
      </c>
      <c r="S117" s="78"/>
      <c r="T117" s="66"/>
      <c r="U117" s="66">
        <f t="shared" ref="U117" si="34">(I117/H117)*100</f>
        <v>99.159510864962812</v>
      </c>
      <c r="V117" s="67">
        <f>(I117/(F115+F116))*100</f>
        <v>72.204873431478902</v>
      </c>
      <c r="W117" s="68"/>
      <c r="X117" s="69"/>
      <c r="Y117" s="69"/>
      <c r="Z117" s="69"/>
      <c r="AA117" s="69"/>
      <c r="AB117" s="69"/>
      <c r="AC117" s="69"/>
      <c r="AD117" s="69"/>
      <c r="AE117" s="69"/>
      <c r="AF117" s="70"/>
    </row>
  </sheetData>
  <sheetProtection algorithmName="SHA-512" hashValue="lRTXDyY5PrnCXuEZTrC16KQIOxg5N/DLfL1FK3VdqrfVYg9lTzIaVRjTP4PrKo1rS0jYHfYIkIVqKIEjX6niYQ==" saltValue="gSoaB28+6NmAQMaLtKavgw==" spinCount="100000" sheet="1" objects="1" scenarios="1" formatCells="0" formatColumns="0" formatRows="0"/>
  <mergeCells count="5">
    <mergeCell ref="C11:E11"/>
    <mergeCell ref="F11:I11"/>
    <mergeCell ref="J11:R11"/>
    <mergeCell ref="S11:V11"/>
    <mergeCell ref="W11:AF11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298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5.75" x14ac:dyDescent="0.25"/>
  <cols>
    <col min="1" max="1" width="16" customWidth="1"/>
    <col min="2" max="2" width="9.75" customWidth="1"/>
  </cols>
  <sheetData>
    <row r="1" spans="1:24" ht="21" x14ac:dyDescent="0.35">
      <c r="A1" s="9" t="s">
        <v>1091</v>
      </c>
    </row>
    <row r="2" spans="1:24" x14ac:dyDescent="0.25">
      <c r="A2" s="6"/>
    </row>
    <row r="3" spans="1:24" x14ac:dyDescent="0.25">
      <c r="A3" s="6" t="s">
        <v>1100</v>
      </c>
    </row>
    <row r="4" spans="1:24" x14ac:dyDescent="0.25">
      <c r="A4" s="87" t="s">
        <v>1134</v>
      </c>
    </row>
    <row r="5" spans="1:24" x14ac:dyDescent="0.25">
      <c r="A5" s="88" t="s">
        <v>1101</v>
      </c>
    </row>
    <row r="6" spans="1:24" x14ac:dyDescent="0.25">
      <c r="A6" s="6" t="s">
        <v>1099</v>
      </c>
    </row>
    <row r="8" spans="1:24" x14ac:dyDescent="0.25">
      <c r="A8" s="6"/>
    </row>
    <row r="9" spans="1:24" ht="21" x14ac:dyDescent="0.35">
      <c r="C9" s="165" t="s">
        <v>1088</v>
      </c>
      <c r="D9" s="167"/>
      <c r="E9" s="166" t="s">
        <v>1089</v>
      </c>
      <c r="F9" s="166"/>
      <c r="G9" s="166"/>
      <c r="H9" s="166"/>
      <c r="I9" s="166"/>
      <c r="J9" s="166"/>
      <c r="K9" s="166"/>
      <c r="L9" s="167"/>
      <c r="M9" s="165" t="s">
        <v>1090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7"/>
    </row>
    <row r="10" spans="1:24" x14ac:dyDescent="0.25">
      <c r="C10" s="172" t="s">
        <v>1085</v>
      </c>
      <c r="D10" s="171"/>
      <c r="E10" s="169" t="s">
        <v>1076</v>
      </c>
      <c r="F10" s="169"/>
      <c r="G10" s="168" t="s">
        <v>1077</v>
      </c>
      <c r="H10" s="170"/>
      <c r="I10" s="168" t="s">
        <v>1078</v>
      </c>
      <c r="J10" s="170"/>
      <c r="K10" s="169" t="s">
        <v>1079</v>
      </c>
      <c r="L10" s="171"/>
      <c r="M10" s="172" t="s">
        <v>1080</v>
      </c>
      <c r="N10" s="169"/>
      <c r="O10" s="169"/>
      <c r="P10" s="168" t="s">
        <v>1081</v>
      </c>
      <c r="Q10" s="169"/>
      <c r="R10" s="170"/>
      <c r="S10" s="168" t="s">
        <v>1082</v>
      </c>
      <c r="T10" s="169"/>
      <c r="U10" s="170"/>
      <c r="V10" s="169" t="s">
        <v>1083</v>
      </c>
      <c r="W10" s="169"/>
      <c r="X10" s="171"/>
    </row>
    <row r="11" spans="1:24" x14ac:dyDescent="0.25">
      <c r="A11" s="80" t="s">
        <v>1133</v>
      </c>
      <c r="B11" s="80" t="s">
        <v>1084</v>
      </c>
      <c r="C11" s="102" t="s">
        <v>1074</v>
      </c>
      <c r="D11" s="107" t="s">
        <v>1075</v>
      </c>
      <c r="E11" s="80" t="s">
        <v>1074</v>
      </c>
      <c r="F11" s="80" t="s">
        <v>1075</v>
      </c>
      <c r="G11" s="139" t="s">
        <v>1074</v>
      </c>
      <c r="H11" s="140" t="s">
        <v>1075</v>
      </c>
      <c r="I11" s="80" t="s">
        <v>1074</v>
      </c>
      <c r="J11" s="140" t="s">
        <v>1075</v>
      </c>
      <c r="K11" s="80" t="s">
        <v>1074</v>
      </c>
      <c r="L11" s="138" t="s">
        <v>1075</v>
      </c>
      <c r="M11" s="80" t="s">
        <v>1074</v>
      </c>
      <c r="N11" s="80" t="s">
        <v>1075</v>
      </c>
      <c r="O11" s="80" t="s">
        <v>1086</v>
      </c>
      <c r="P11" s="139" t="s">
        <v>1074</v>
      </c>
      <c r="Q11" s="141" t="s">
        <v>1075</v>
      </c>
      <c r="R11" s="140" t="s">
        <v>1086</v>
      </c>
      <c r="S11" s="80" t="s">
        <v>1074</v>
      </c>
      <c r="T11" s="80" t="s">
        <v>1075</v>
      </c>
      <c r="U11" s="140" t="s">
        <v>1086</v>
      </c>
      <c r="V11" s="80" t="s">
        <v>1074</v>
      </c>
      <c r="W11" s="80" t="s">
        <v>1075</v>
      </c>
      <c r="X11" s="138" t="s">
        <v>1086</v>
      </c>
    </row>
    <row r="12" spans="1:24" x14ac:dyDescent="0.25">
      <c r="A12" t="s">
        <v>1102</v>
      </c>
      <c r="B12">
        <v>20080358</v>
      </c>
      <c r="C12" s="103">
        <v>51560</v>
      </c>
      <c r="D12" s="108">
        <v>7605.3</v>
      </c>
      <c r="E12" s="99">
        <v>8.9355499999999995E-5</v>
      </c>
      <c r="F12" s="99">
        <v>7.8052699999999999E-5</v>
      </c>
      <c r="G12" s="132">
        <v>9.4344200000000004E-6</v>
      </c>
      <c r="H12" s="133">
        <v>2.1166799999999999E-5</v>
      </c>
      <c r="I12" s="99">
        <v>5.6080499999999996E-6</v>
      </c>
      <c r="J12" s="133">
        <v>1.3804399999999999E-5</v>
      </c>
      <c r="K12" s="99">
        <v>5.0905200000000003E-6</v>
      </c>
      <c r="L12" s="116">
        <v>7.0747799999999999E-6</v>
      </c>
      <c r="M12" s="2">
        <v>86</v>
      </c>
      <c r="N12" s="2">
        <v>12</v>
      </c>
      <c r="O12" s="2">
        <v>95</v>
      </c>
      <c r="P12" s="126">
        <v>2</v>
      </c>
      <c r="Q12" s="106">
        <v>6</v>
      </c>
      <c r="R12" s="127">
        <v>3</v>
      </c>
      <c r="S12" s="2">
        <v>1</v>
      </c>
      <c r="T12" s="2">
        <v>2</v>
      </c>
      <c r="U12" s="127">
        <v>2</v>
      </c>
      <c r="V12" s="2">
        <v>1</v>
      </c>
      <c r="W12" s="2">
        <v>0</v>
      </c>
      <c r="X12" s="109">
        <v>1</v>
      </c>
    </row>
    <row r="13" spans="1:24" x14ac:dyDescent="0.25">
      <c r="B13">
        <v>20090123</v>
      </c>
      <c r="C13" s="103">
        <v>10124</v>
      </c>
      <c r="D13" s="108">
        <v>6820.5</v>
      </c>
      <c r="E13" s="99">
        <v>4.2344400000000001E-5</v>
      </c>
      <c r="F13" s="99">
        <v>4.73968E-5</v>
      </c>
      <c r="G13" s="132">
        <v>1.06293E-5</v>
      </c>
      <c r="H13" s="133">
        <v>1.25066E-5</v>
      </c>
      <c r="I13" s="99">
        <v>4.9689900000000003E-6</v>
      </c>
      <c r="J13" s="133">
        <v>8.4659999999999999E-6</v>
      </c>
      <c r="K13" s="100">
        <v>1.9999999999999999E-7</v>
      </c>
      <c r="L13" s="118">
        <v>1.9999999999999999E-7</v>
      </c>
      <c r="M13" s="2">
        <v>3</v>
      </c>
      <c r="N13" s="2">
        <v>15</v>
      </c>
      <c r="O13" s="2">
        <v>46</v>
      </c>
      <c r="P13" s="126">
        <v>1</v>
      </c>
      <c r="Q13" s="106">
        <v>1</v>
      </c>
      <c r="R13" s="127">
        <v>7</v>
      </c>
      <c r="S13" s="2">
        <v>0</v>
      </c>
      <c r="T13" s="2">
        <v>2</v>
      </c>
      <c r="U13" s="127">
        <v>3</v>
      </c>
      <c r="V13" s="2">
        <v>0</v>
      </c>
      <c r="W13" s="2">
        <v>0</v>
      </c>
      <c r="X13" s="109">
        <v>0</v>
      </c>
    </row>
    <row r="14" spans="1:24" x14ac:dyDescent="0.25">
      <c r="B14">
        <v>20090711</v>
      </c>
      <c r="C14" s="103">
        <v>15356.2</v>
      </c>
      <c r="D14" s="108">
        <v>7071.1</v>
      </c>
      <c r="E14" s="99">
        <v>3.2534399999999998E-4</v>
      </c>
      <c r="F14" s="99">
        <v>1.14881E-4</v>
      </c>
      <c r="G14" s="132">
        <v>2.98339E-4</v>
      </c>
      <c r="H14" s="133">
        <v>9.4218500000000006E-5</v>
      </c>
      <c r="I14" s="99">
        <v>2.96972E-4</v>
      </c>
      <c r="J14" s="133">
        <v>8.6176199999999997E-5</v>
      </c>
      <c r="K14" s="99">
        <v>2.9343899999999999E-4</v>
      </c>
      <c r="L14" s="116">
        <v>8.1598299999999994E-5</v>
      </c>
      <c r="M14" s="2">
        <v>7</v>
      </c>
      <c r="N14" s="2">
        <v>7</v>
      </c>
      <c r="O14" s="2">
        <v>35</v>
      </c>
      <c r="P14" s="126">
        <v>3</v>
      </c>
      <c r="Q14" s="106">
        <v>5</v>
      </c>
      <c r="R14" s="127">
        <v>9</v>
      </c>
      <c r="S14" s="2">
        <v>2</v>
      </c>
      <c r="T14" s="2">
        <v>0</v>
      </c>
      <c r="U14" s="127">
        <v>8</v>
      </c>
      <c r="V14" s="2">
        <v>2</v>
      </c>
      <c r="W14" s="2">
        <v>0</v>
      </c>
      <c r="X14" s="109">
        <v>6</v>
      </c>
    </row>
    <row r="15" spans="1:24" x14ac:dyDescent="0.25">
      <c r="B15">
        <v>20090892</v>
      </c>
      <c r="C15" s="103">
        <v>7449.7</v>
      </c>
      <c r="D15" s="108">
        <v>6560.4</v>
      </c>
      <c r="E15" s="99">
        <v>1.14092E-4</v>
      </c>
      <c r="F15" s="99">
        <v>1.16023E-4</v>
      </c>
      <c r="G15" s="132">
        <v>1.01115E-4</v>
      </c>
      <c r="H15" s="133">
        <v>1.00153E-4</v>
      </c>
      <c r="I15" s="99">
        <v>9.1485399999999997E-5</v>
      </c>
      <c r="J15" s="133">
        <v>8.8217600000000001E-5</v>
      </c>
      <c r="K15" s="99">
        <v>3.8931199999999998E-5</v>
      </c>
      <c r="L15" s="116">
        <v>4.1208200000000003E-5</v>
      </c>
      <c r="M15" s="2">
        <v>0</v>
      </c>
      <c r="N15" s="2">
        <v>11</v>
      </c>
      <c r="O15" s="2">
        <v>41</v>
      </c>
      <c r="P15" s="126">
        <v>0</v>
      </c>
      <c r="Q15" s="106">
        <v>1</v>
      </c>
      <c r="R15" s="127">
        <v>28</v>
      </c>
      <c r="S15" s="2">
        <v>0</v>
      </c>
      <c r="T15" s="2">
        <v>0</v>
      </c>
      <c r="U15" s="127">
        <v>21</v>
      </c>
      <c r="V15" s="2">
        <v>0</v>
      </c>
      <c r="W15" s="2">
        <v>1</v>
      </c>
      <c r="X15" s="109">
        <v>6</v>
      </c>
    </row>
    <row r="16" spans="1:24" x14ac:dyDescent="0.25">
      <c r="B16">
        <v>20090965</v>
      </c>
      <c r="C16" s="103">
        <v>11588.5</v>
      </c>
      <c r="D16" s="108">
        <v>6199.9</v>
      </c>
      <c r="E16" s="99">
        <v>4.0918899999999999E-5</v>
      </c>
      <c r="F16" s="99">
        <v>5.1718200000000002E-5</v>
      </c>
      <c r="G16" s="132">
        <v>1.6722400000000001E-5</v>
      </c>
      <c r="H16" s="133">
        <v>2.5188799999999998E-5</v>
      </c>
      <c r="I16" s="99">
        <v>6.9833999999999999E-6</v>
      </c>
      <c r="J16" s="133">
        <v>1.2418E-5</v>
      </c>
      <c r="K16" s="100">
        <v>1.9999999999999999E-7</v>
      </c>
      <c r="L16" s="118">
        <v>1.9999999999999999E-7</v>
      </c>
      <c r="M16" s="2">
        <v>11</v>
      </c>
      <c r="N16" s="2">
        <v>22</v>
      </c>
      <c r="O16" s="2">
        <v>32</v>
      </c>
      <c r="P16" s="126">
        <v>1</v>
      </c>
      <c r="Q16" s="106">
        <v>0</v>
      </c>
      <c r="R16" s="127">
        <v>12</v>
      </c>
      <c r="S16" s="2">
        <v>0</v>
      </c>
      <c r="T16" s="2">
        <v>0</v>
      </c>
      <c r="U16" s="127">
        <v>4</v>
      </c>
      <c r="V16" s="2">
        <v>0</v>
      </c>
      <c r="W16" s="2">
        <v>0</v>
      </c>
      <c r="X16" s="109">
        <v>0</v>
      </c>
    </row>
    <row r="17" spans="2:24" x14ac:dyDescent="0.25">
      <c r="B17">
        <v>20091068</v>
      </c>
      <c r="C17" s="103">
        <v>12402.8</v>
      </c>
      <c r="D17" s="108">
        <v>5502.9</v>
      </c>
      <c r="E17" s="99">
        <v>7.6288500000000007E-5</v>
      </c>
      <c r="F17" s="99">
        <v>8.9827599999999994E-5</v>
      </c>
      <c r="G17" s="132">
        <v>5.6854800000000003E-5</v>
      </c>
      <c r="H17" s="133">
        <v>6.5979499999999994E-5</v>
      </c>
      <c r="I17" s="99">
        <v>3.3612100000000003E-5</v>
      </c>
      <c r="J17" s="133">
        <v>4.2528999999999999E-5</v>
      </c>
      <c r="K17" s="99">
        <v>7.2303E-6</v>
      </c>
      <c r="L17" s="116">
        <v>1.90784E-5</v>
      </c>
      <c r="M17" s="2">
        <v>6</v>
      </c>
      <c r="N17" s="2">
        <v>17</v>
      </c>
      <c r="O17" s="2">
        <v>40</v>
      </c>
      <c r="P17" s="126">
        <v>3</v>
      </c>
      <c r="Q17" s="106">
        <v>3</v>
      </c>
      <c r="R17" s="127">
        <v>23</v>
      </c>
      <c r="S17" s="2">
        <v>4</v>
      </c>
      <c r="T17" s="2">
        <v>2</v>
      </c>
      <c r="U17" s="127">
        <v>12</v>
      </c>
      <c r="V17" s="2">
        <v>0</v>
      </c>
      <c r="W17" s="2">
        <v>1</v>
      </c>
      <c r="X17" s="109">
        <v>3</v>
      </c>
    </row>
    <row r="18" spans="2:24" x14ac:dyDescent="0.25">
      <c r="B18">
        <v>20091069</v>
      </c>
      <c r="C18" s="103">
        <v>17668.8</v>
      </c>
      <c r="D18" s="108">
        <v>7299.3</v>
      </c>
      <c r="E18" s="99">
        <v>8.6826700000000007E-5</v>
      </c>
      <c r="F18" s="99">
        <v>8.4501199999999997E-5</v>
      </c>
      <c r="G18" s="132">
        <v>2.93631E-5</v>
      </c>
      <c r="H18" s="133">
        <v>2.7268100000000001E-5</v>
      </c>
      <c r="I18" s="99">
        <v>1.6959299999999999E-5</v>
      </c>
      <c r="J18" s="133">
        <v>8.2703299999999998E-6</v>
      </c>
      <c r="K18" s="99">
        <v>1.41369E-5</v>
      </c>
      <c r="L18" s="116">
        <v>6.5323600000000001E-6</v>
      </c>
      <c r="M18" s="2">
        <v>9</v>
      </c>
      <c r="N18" s="2">
        <v>26</v>
      </c>
      <c r="O18" s="2">
        <v>70</v>
      </c>
      <c r="P18" s="126">
        <v>4</v>
      </c>
      <c r="Q18" s="106">
        <v>7</v>
      </c>
      <c r="R18" s="127">
        <v>7</v>
      </c>
      <c r="S18" s="2">
        <v>2</v>
      </c>
      <c r="T18" s="2">
        <v>0</v>
      </c>
      <c r="U18" s="127">
        <v>2</v>
      </c>
      <c r="V18" s="2">
        <v>1</v>
      </c>
      <c r="W18" s="2">
        <v>0</v>
      </c>
      <c r="X18" s="109">
        <v>1</v>
      </c>
    </row>
    <row r="19" spans="2:24" x14ac:dyDescent="0.25">
      <c r="B19">
        <v>20091094</v>
      </c>
      <c r="C19" s="103">
        <v>10220.799999999999</v>
      </c>
      <c r="D19" s="108">
        <v>6244.7</v>
      </c>
      <c r="E19" s="99">
        <v>1.0687E-4</v>
      </c>
      <c r="F19" s="99">
        <v>9.3516899999999999E-5</v>
      </c>
      <c r="G19" s="132">
        <v>9.9936600000000001E-5</v>
      </c>
      <c r="H19" s="133">
        <v>8.3429699999999998E-5</v>
      </c>
      <c r="I19" s="99">
        <v>9.0948700000000006E-5</v>
      </c>
      <c r="J19" s="133">
        <v>7.0190200000000004E-5</v>
      </c>
      <c r="K19" s="99">
        <v>5.9063200000000001E-5</v>
      </c>
      <c r="L19" s="116">
        <v>4.37813E-5</v>
      </c>
      <c r="M19" s="2">
        <v>8</v>
      </c>
      <c r="N19" s="2">
        <v>13</v>
      </c>
      <c r="O19" s="2">
        <v>28</v>
      </c>
      <c r="P19" s="126">
        <v>4</v>
      </c>
      <c r="Q19" s="106">
        <v>1</v>
      </c>
      <c r="R19" s="127">
        <v>22</v>
      </c>
      <c r="S19" s="2">
        <v>6</v>
      </c>
      <c r="T19" s="2">
        <v>0</v>
      </c>
      <c r="U19" s="127">
        <v>16</v>
      </c>
      <c r="V19" s="2">
        <v>4</v>
      </c>
      <c r="W19" s="2">
        <v>0</v>
      </c>
      <c r="X19" s="109">
        <v>8</v>
      </c>
    </row>
    <row r="20" spans="2:24" x14ac:dyDescent="0.25">
      <c r="B20">
        <v>20091119</v>
      </c>
      <c r="C20" s="103">
        <v>12134.9</v>
      </c>
      <c r="D20" s="108">
        <v>5554.7</v>
      </c>
      <c r="E20" s="99">
        <v>1.32298E-5</v>
      </c>
      <c r="F20" s="99">
        <v>1.2206500000000001E-5</v>
      </c>
      <c r="G20" s="134">
        <v>1.9999999999999999E-7</v>
      </c>
      <c r="H20" s="133">
        <v>7.8751800000000005E-7</v>
      </c>
      <c r="I20" s="100">
        <v>1.9999999999999999E-7</v>
      </c>
      <c r="J20" s="135">
        <v>1.9999999999999999E-7</v>
      </c>
      <c r="K20" s="100">
        <v>1.9999999999999999E-7</v>
      </c>
      <c r="L20" s="118">
        <v>1.9999999999999999E-7</v>
      </c>
      <c r="M20" s="2">
        <v>8</v>
      </c>
      <c r="N20" s="2">
        <v>13</v>
      </c>
      <c r="O20" s="2">
        <v>7</v>
      </c>
      <c r="P20" s="126">
        <v>0</v>
      </c>
      <c r="Q20" s="106">
        <v>2</v>
      </c>
      <c r="R20" s="127">
        <v>0</v>
      </c>
      <c r="S20" s="2">
        <v>0</v>
      </c>
      <c r="T20" s="2">
        <v>0</v>
      </c>
      <c r="U20" s="127">
        <v>0</v>
      </c>
      <c r="V20" s="2">
        <v>0</v>
      </c>
      <c r="W20" s="2">
        <v>0</v>
      </c>
      <c r="X20" s="109">
        <v>0</v>
      </c>
    </row>
    <row r="21" spans="2:24" x14ac:dyDescent="0.25">
      <c r="B21">
        <v>20091973</v>
      </c>
      <c r="C21" s="103">
        <v>12791.4</v>
      </c>
      <c r="D21" s="108">
        <v>4520.6000000000004</v>
      </c>
      <c r="E21" s="99">
        <v>7.9989900000000005E-5</v>
      </c>
      <c r="F21" s="99">
        <v>1.03929E-4</v>
      </c>
      <c r="G21" s="132">
        <v>2.4759599999999999E-5</v>
      </c>
      <c r="H21" s="133">
        <v>6.9285700000000006E-5</v>
      </c>
      <c r="I21" s="99">
        <v>2.29813E-5</v>
      </c>
      <c r="J21" s="133">
        <v>6.6673000000000004E-5</v>
      </c>
      <c r="K21" s="99">
        <v>2.11688E-5</v>
      </c>
      <c r="L21" s="116">
        <v>5.9899199999999997E-5</v>
      </c>
      <c r="M21" s="2">
        <v>20</v>
      </c>
      <c r="N21" s="2">
        <v>5</v>
      </c>
      <c r="O21" s="2">
        <v>53</v>
      </c>
      <c r="P21" s="126">
        <v>0</v>
      </c>
      <c r="Q21" s="106">
        <v>1</v>
      </c>
      <c r="R21" s="127">
        <v>21</v>
      </c>
      <c r="S21" s="2">
        <v>0</v>
      </c>
      <c r="T21" s="2">
        <v>2</v>
      </c>
      <c r="U21" s="127">
        <v>18</v>
      </c>
      <c r="V21" s="2">
        <v>0</v>
      </c>
      <c r="W21" s="2">
        <v>1</v>
      </c>
      <c r="X21" s="109">
        <v>15</v>
      </c>
    </row>
    <row r="22" spans="2:24" x14ac:dyDescent="0.25">
      <c r="B22">
        <v>20091980</v>
      </c>
      <c r="C22" s="103">
        <v>39798.800000000003</v>
      </c>
      <c r="D22" s="108">
        <v>7422</v>
      </c>
      <c r="E22" s="99">
        <v>5.5341799999999999E-5</v>
      </c>
      <c r="F22" s="99">
        <v>6.9076400000000002E-5</v>
      </c>
      <c r="G22" s="132">
        <v>2.7566500000000001E-5</v>
      </c>
      <c r="H22" s="133">
        <v>3.6011699999999999E-5</v>
      </c>
      <c r="I22" s="99">
        <v>9.4196399999999998E-6</v>
      </c>
      <c r="J22" s="133">
        <v>1.92141E-5</v>
      </c>
      <c r="K22" s="99">
        <v>5.8474299999999997E-6</v>
      </c>
      <c r="L22" s="116">
        <v>6.3654000000000001E-6</v>
      </c>
      <c r="M22" s="2">
        <v>19</v>
      </c>
      <c r="N22" s="2">
        <v>19</v>
      </c>
      <c r="O22" s="2">
        <v>50</v>
      </c>
      <c r="P22" s="126">
        <v>3</v>
      </c>
      <c r="Q22" s="106">
        <v>5</v>
      </c>
      <c r="R22" s="127">
        <v>14</v>
      </c>
      <c r="S22" s="2">
        <v>1</v>
      </c>
      <c r="T22" s="2">
        <v>2</v>
      </c>
      <c r="U22" s="127">
        <v>4</v>
      </c>
      <c r="V22" s="2">
        <v>1</v>
      </c>
      <c r="W22" s="2">
        <v>0</v>
      </c>
      <c r="X22" s="109">
        <v>1</v>
      </c>
    </row>
    <row r="23" spans="2:24" x14ac:dyDescent="0.25">
      <c r="B23">
        <v>20091981</v>
      </c>
      <c r="C23" s="103">
        <v>38361.9</v>
      </c>
      <c r="D23" s="108">
        <v>7470.7</v>
      </c>
      <c r="E23" s="99">
        <v>6.9102899999999999E-6</v>
      </c>
      <c r="F23" s="99">
        <v>9.0174100000000001E-6</v>
      </c>
      <c r="G23" s="134">
        <v>1.9999999999999999E-7</v>
      </c>
      <c r="H23" s="133">
        <v>1.9323000000000001E-6</v>
      </c>
      <c r="I23" s="100">
        <v>1.9999999999999999E-7</v>
      </c>
      <c r="J23" s="135">
        <v>1.9999999999999999E-7</v>
      </c>
      <c r="K23" s="100">
        <v>1.9999999999999999E-7</v>
      </c>
      <c r="L23" s="118">
        <v>1.9999999999999999E-7</v>
      </c>
      <c r="M23" s="2">
        <v>10</v>
      </c>
      <c r="N23" s="2">
        <v>3</v>
      </c>
      <c r="O23" s="2">
        <v>10</v>
      </c>
      <c r="P23" s="126">
        <v>0</v>
      </c>
      <c r="Q23" s="106">
        <v>1</v>
      </c>
      <c r="R23" s="127">
        <v>0</v>
      </c>
      <c r="S23" s="2">
        <v>0</v>
      </c>
      <c r="T23" s="2">
        <v>0</v>
      </c>
      <c r="U23" s="127">
        <v>0</v>
      </c>
      <c r="V23" s="2">
        <v>0</v>
      </c>
      <c r="W23" s="2">
        <v>0</v>
      </c>
      <c r="X23" s="109">
        <v>0</v>
      </c>
    </row>
    <row r="24" spans="2:24" x14ac:dyDescent="0.25">
      <c r="B24">
        <v>20091983</v>
      </c>
      <c r="C24" s="103">
        <v>35190.9</v>
      </c>
      <c r="D24" s="108">
        <v>7185</v>
      </c>
      <c r="E24" s="99">
        <v>3.5091700000000001E-5</v>
      </c>
      <c r="F24" s="99">
        <v>3.1720300000000002E-5</v>
      </c>
      <c r="G24" s="132">
        <v>8.4279799999999999E-6</v>
      </c>
      <c r="H24" s="133">
        <v>1.6560300000000001E-5</v>
      </c>
      <c r="I24" s="99">
        <v>1.9018900000000001E-6</v>
      </c>
      <c r="J24" s="133">
        <v>9.5587000000000005E-6</v>
      </c>
      <c r="K24" s="99">
        <v>8.2042300000000001E-7</v>
      </c>
      <c r="L24" s="116">
        <v>4.01831E-6</v>
      </c>
      <c r="M24" s="2">
        <v>34</v>
      </c>
      <c r="N24" s="2">
        <v>12</v>
      </c>
      <c r="O24" s="2">
        <v>23</v>
      </c>
      <c r="P24" s="126">
        <v>0</v>
      </c>
      <c r="Q24" s="106">
        <v>3</v>
      </c>
      <c r="R24" s="127">
        <v>5</v>
      </c>
      <c r="S24" s="2">
        <v>0</v>
      </c>
      <c r="T24" s="2">
        <v>1</v>
      </c>
      <c r="U24" s="127">
        <v>2</v>
      </c>
      <c r="V24" s="2">
        <v>0</v>
      </c>
      <c r="W24" s="2">
        <v>0</v>
      </c>
      <c r="X24" s="109">
        <v>1</v>
      </c>
    </row>
    <row r="25" spans="2:24" x14ac:dyDescent="0.25">
      <c r="B25">
        <v>20092285</v>
      </c>
      <c r="C25" s="103">
        <v>11985.5</v>
      </c>
      <c r="D25" s="108">
        <v>6693.7</v>
      </c>
      <c r="E25" s="99">
        <v>3.69367E-3</v>
      </c>
      <c r="F25" s="99">
        <v>2.6885699999999999E-3</v>
      </c>
      <c r="G25" s="132">
        <v>3.6585599999999999E-3</v>
      </c>
      <c r="H25" s="133">
        <v>2.6434800000000001E-3</v>
      </c>
      <c r="I25" s="99">
        <v>3.6341799999999999E-3</v>
      </c>
      <c r="J25" s="133">
        <v>2.6317799999999998E-3</v>
      </c>
      <c r="K25" s="99">
        <v>3.47395E-3</v>
      </c>
      <c r="L25" s="116">
        <v>2.50892E-3</v>
      </c>
      <c r="M25" s="2">
        <v>12</v>
      </c>
      <c r="N25" s="2">
        <v>31</v>
      </c>
      <c r="O25" s="2">
        <v>108</v>
      </c>
      <c r="P25" s="126">
        <v>13</v>
      </c>
      <c r="Q25" s="106">
        <v>3</v>
      </c>
      <c r="R25" s="127">
        <v>69</v>
      </c>
      <c r="S25" s="2">
        <v>8</v>
      </c>
      <c r="T25" s="2">
        <v>2</v>
      </c>
      <c r="U25" s="127">
        <v>63</v>
      </c>
      <c r="V25" s="2">
        <v>5</v>
      </c>
      <c r="W25" s="2">
        <v>7</v>
      </c>
      <c r="X25" s="109">
        <v>21</v>
      </c>
    </row>
    <row r="26" spans="2:24" x14ac:dyDescent="0.25">
      <c r="B26">
        <v>20110089</v>
      </c>
      <c r="C26" s="103">
        <v>10349</v>
      </c>
      <c r="D26" s="108">
        <v>5456.3</v>
      </c>
      <c r="E26" s="99">
        <v>1.72332E-4</v>
      </c>
      <c r="F26" s="99">
        <v>2.6986000000000002E-4</v>
      </c>
      <c r="G26" s="132">
        <v>1.5665000000000001E-4</v>
      </c>
      <c r="H26" s="133">
        <v>2.3827200000000001E-4</v>
      </c>
      <c r="I26" s="99">
        <v>1.4760500000000001E-4</v>
      </c>
      <c r="J26" s="133">
        <v>2.22718E-4</v>
      </c>
      <c r="K26" s="99">
        <v>1.21947E-4</v>
      </c>
      <c r="L26" s="116">
        <v>1.90249E-4</v>
      </c>
      <c r="M26" s="2">
        <v>4</v>
      </c>
      <c r="N26" s="2">
        <v>30</v>
      </c>
      <c r="O26" s="2">
        <v>80</v>
      </c>
      <c r="P26" s="126">
        <v>1</v>
      </c>
      <c r="Q26" s="106">
        <v>3</v>
      </c>
      <c r="R26" s="127">
        <v>58</v>
      </c>
      <c r="S26" s="2">
        <v>2</v>
      </c>
      <c r="T26" s="2">
        <v>2</v>
      </c>
      <c r="U26" s="127">
        <v>42</v>
      </c>
      <c r="V26" s="2">
        <v>1</v>
      </c>
      <c r="W26" s="2">
        <v>1</v>
      </c>
      <c r="X26" s="109">
        <v>26</v>
      </c>
    </row>
    <row r="27" spans="2:24" x14ac:dyDescent="0.25">
      <c r="B27">
        <v>20110129</v>
      </c>
      <c r="C27" s="103">
        <v>20360.7</v>
      </c>
      <c r="D27" s="108">
        <v>7413.9</v>
      </c>
      <c r="E27" s="99">
        <v>5.03604E-5</v>
      </c>
      <c r="F27" s="99">
        <v>5.3102900000000003E-5</v>
      </c>
      <c r="G27" s="132">
        <v>6.6387999999999999E-6</v>
      </c>
      <c r="H27" s="133">
        <v>8.6144599999999992E-6</v>
      </c>
      <c r="I27" s="99">
        <v>6.6387999999999999E-6</v>
      </c>
      <c r="J27" s="133">
        <v>3.83521E-6</v>
      </c>
      <c r="K27" s="99">
        <v>6.6387999999999999E-6</v>
      </c>
      <c r="L27" s="118">
        <v>1.9999999999999999E-7</v>
      </c>
      <c r="M27" s="2">
        <v>20</v>
      </c>
      <c r="N27" s="2">
        <v>18</v>
      </c>
      <c r="O27" s="2">
        <v>59</v>
      </c>
      <c r="P27" s="126">
        <v>0</v>
      </c>
      <c r="Q27" s="106">
        <v>3</v>
      </c>
      <c r="R27" s="127">
        <v>1</v>
      </c>
      <c r="S27" s="2">
        <v>0</v>
      </c>
      <c r="T27" s="2">
        <v>0</v>
      </c>
      <c r="U27" s="127">
        <v>1</v>
      </c>
      <c r="V27" s="2">
        <v>1</v>
      </c>
      <c r="W27" s="2">
        <v>0</v>
      </c>
      <c r="X27" s="109">
        <v>0</v>
      </c>
    </row>
    <row r="28" spans="2:24" x14ac:dyDescent="0.25">
      <c r="B28">
        <v>20110216</v>
      </c>
      <c r="C28" s="103">
        <v>10324.4</v>
      </c>
      <c r="D28" s="108">
        <v>6777.6</v>
      </c>
      <c r="E28" s="99">
        <v>1.0897999999999999E-3</v>
      </c>
      <c r="F28" s="99">
        <v>9.1089800000000005E-4</v>
      </c>
      <c r="G28" s="132">
        <v>1.04557E-3</v>
      </c>
      <c r="H28" s="133">
        <v>8.6752499999999996E-4</v>
      </c>
      <c r="I28" s="99">
        <v>1.0177299999999999E-3</v>
      </c>
      <c r="J28" s="133">
        <v>8.3176799999999998E-4</v>
      </c>
      <c r="K28" s="99">
        <v>9.4248300000000004E-4</v>
      </c>
      <c r="L28" s="116">
        <v>7.6290099999999997E-4</v>
      </c>
      <c r="M28" s="2">
        <v>20</v>
      </c>
      <c r="N28" s="2">
        <v>18</v>
      </c>
      <c r="O28" s="2">
        <v>147</v>
      </c>
      <c r="P28" s="126">
        <v>16</v>
      </c>
      <c r="Q28" s="106">
        <v>4</v>
      </c>
      <c r="R28" s="127">
        <v>103</v>
      </c>
      <c r="S28" s="2">
        <v>19</v>
      </c>
      <c r="T28" s="2">
        <v>5</v>
      </c>
      <c r="U28" s="127">
        <v>79</v>
      </c>
      <c r="V28" s="2">
        <v>19</v>
      </c>
      <c r="W28" s="2">
        <v>6</v>
      </c>
      <c r="X28" s="109">
        <v>56</v>
      </c>
    </row>
    <row r="29" spans="2:24" x14ac:dyDescent="0.25">
      <c r="B29">
        <v>20120513</v>
      </c>
      <c r="C29" s="103">
        <v>6171</v>
      </c>
      <c r="D29" s="108">
        <v>5755.6</v>
      </c>
      <c r="E29" s="99">
        <v>3.4238700000000001E-5</v>
      </c>
      <c r="F29" s="99">
        <v>4.7502400000000001E-5</v>
      </c>
      <c r="G29" s="132">
        <v>1.67295E-5</v>
      </c>
      <c r="H29" s="133">
        <v>1.48208E-5</v>
      </c>
      <c r="I29" s="99">
        <v>1.4886400000000001E-6</v>
      </c>
      <c r="J29" s="133">
        <v>9.1204600000000001E-7</v>
      </c>
      <c r="K29" s="99">
        <v>9.2153799999999998E-7</v>
      </c>
      <c r="L29" s="116">
        <v>9.1204600000000001E-7</v>
      </c>
      <c r="M29" s="2">
        <v>1</v>
      </c>
      <c r="N29" s="2">
        <v>31</v>
      </c>
      <c r="O29" s="2">
        <v>30</v>
      </c>
      <c r="P29" s="126">
        <v>2</v>
      </c>
      <c r="Q29" s="106">
        <v>2</v>
      </c>
      <c r="R29" s="127">
        <v>11</v>
      </c>
      <c r="S29" s="2">
        <v>1</v>
      </c>
      <c r="T29" s="2">
        <v>0</v>
      </c>
      <c r="U29" s="127">
        <v>1</v>
      </c>
      <c r="V29" s="2">
        <v>0</v>
      </c>
      <c r="W29" s="2">
        <v>0</v>
      </c>
      <c r="X29" s="109">
        <v>1</v>
      </c>
    </row>
    <row r="30" spans="2:24" x14ac:dyDescent="0.25">
      <c r="B30">
        <v>20120642</v>
      </c>
      <c r="C30" s="103">
        <v>727</v>
      </c>
      <c r="D30" s="108">
        <v>724</v>
      </c>
      <c r="E30" s="99">
        <v>3.8510000000000002E-5</v>
      </c>
      <c r="F30" s="99">
        <v>5.7398000000000002E-5</v>
      </c>
      <c r="G30" s="132">
        <v>3.8510000000000002E-5</v>
      </c>
      <c r="H30" s="133">
        <v>5.7398000000000002E-5</v>
      </c>
      <c r="I30" s="99">
        <v>3.8510000000000002E-5</v>
      </c>
      <c r="J30" s="133">
        <v>5.5585499999999998E-5</v>
      </c>
      <c r="K30" s="99">
        <v>3.0687600000000001E-5</v>
      </c>
      <c r="L30" s="116">
        <v>3.6251400000000003E-5</v>
      </c>
      <c r="M30" s="2">
        <v>0</v>
      </c>
      <c r="N30" s="2">
        <v>8</v>
      </c>
      <c r="O30" s="2">
        <v>7</v>
      </c>
      <c r="P30" s="126">
        <v>0</v>
      </c>
      <c r="Q30" s="106">
        <v>8</v>
      </c>
      <c r="R30" s="127">
        <v>7</v>
      </c>
      <c r="S30" s="2">
        <v>0</v>
      </c>
      <c r="T30" s="2">
        <v>7</v>
      </c>
      <c r="U30" s="127">
        <v>7</v>
      </c>
      <c r="V30" s="2">
        <v>0</v>
      </c>
      <c r="W30" s="2">
        <v>2</v>
      </c>
      <c r="X30" s="109">
        <v>5</v>
      </c>
    </row>
    <row r="31" spans="2:24" x14ac:dyDescent="0.25">
      <c r="B31">
        <v>20120647</v>
      </c>
      <c r="C31" s="103">
        <v>5678.4</v>
      </c>
      <c r="D31" s="108">
        <v>4974.3999999999996</v>
      </c>
      <c r="E31" s="99">
        <v>3.96046E-4</v>
      </c>
      <c r="F31" s="99">
        <v>3.3117599999999997E-4</v>
      </c>
      <c r="G31" s="132">
        <v>3.8449099999999999E-4</v>
      </c>
      <c r="H31" s="133">
        <v>3.1095E-4</v>
      </c>
      <c r="I31" s="99">
        <v>3.6453800000000003E-4</v>
      </c>
      <c r="J31" s="133">
        <v>2.89318E-4</v>
      </c>
      <c r="K31" s="99">
        <v>3.3826899999999998E-4</v>
      </c>
      <c r="L31" s="116">
        <v>2.6689299999999998E-4</v>
      </c>
      <c r="M31" s="2">
        <v>0</v>
      </c>
      <c r="N31" s="2">
        <v>15</v>
      </c>
      <c r="O31" s="2">
        <v>34</v>
      </c>
      <c r="P31" s="126">
        <v>1</v>
      </c>
      <c r="Q31" s="106">
        <v>0</v>
      </c>
      <c r="R31" s="127">
        <v>22</v>
      </c>
      <c r="S31" s="2">
        <v>2</v>
      </c>
      <c r="T31" s="2">
        <v>0</v>
      </c>
      <c r="U31" s="127">
        <v>13</v>
      </c>
      <c r="V31" s="2">
        <v>0</v>
      </c>
      <c r="W31" s="2">
        <v>0</v>
      </c>
      <c r="X31" s="109">
        <v>5</v>
      </c>
    </row>
    <row r="32" spans="2:24" x14ac:dyDescent="0.25">
      <c r="B32">
        <v>20120850</v>
      </c>
      <c r="C32" s="103">
        <v>17991.3</v>
      </c>
      <c r="D32" s="108">
        <v>7243</v>
      </c>
      <c r="E32" s="99">
        <v>4.5491999999999997E-5</v>
      </c>
      <c r="F32" s="99">
        <v>5.8885899999999998E-5</v>
      </c>
      <c r="G32" s="132">
        <v>1.15736E-5</v>
      </c>
      <c r="H32" s="133">
        <v>1.7696000000000001E-5</v>
      </c>
      <c r="I32" s="99">
        <v>9.6527600000000007E-6</v>
      </c>
      <c r="J32" s="133">
        <v>1.4797000000000001E-5</v>
      </c>
      <c r="K32" s="99">
        <v>8.7531400000000004E-6</v>
      </c>
      <c r="L32" s="116">
        <v>9.96531E-6</v>
      </c>
      <c r="M32" s="2">
        <v>20</v>
      </c>
      <c r="N32" s="2">
        <v>39</v>
      </c>
      <c r="O32" s="2">
        <v>45</v>
      </c>
      <c r="P32" s="126">
        <v>0</v>
      </c>
      <c r="Q32" s="106">
        <v>1</v>
      </c>
      <c r="R32" s="127">
        <v>4</v>
      </c>
      <c r="S32" s="2">
        <v>0</v>
      </c>
      <c r="T32" s="2">
        <v>1</v>
      </c>
      <c r="U32" s="127">
        <v>2</v>
      </c>
      <c r="V32" s="2">
        <v>0</v>
      </c>
      <c r="W32" s="2">
        <v>0</v>
      </c>
      <c r="X32" s="109">
        <v>1</v>
      </c>
    </row>
    <row r="33" spans="1:24" x14ac:dyDescent="0.25">
      <c r="B33">
        <v>20120884</v>
      </c>
      <c r="C33" s="103">
        <v>35102.800000000003</v>
      </c>
      <c r="D33" s="108">
        <v>7364.8</v>
      </c>
      <c r="E33" s="99">
        <v>1.1851200000000001E-4</v>
      </c>
      <c r="F33" s="99">
        <v>1.15111E-4</v>
      </c>
      <c r="G33" s="132">
        <v>8.9289099999999999E-5</v>
      </c>
      <c r="H33" s="133">
        <v>9.7529500000000002E-5</v>
      </c>
      <c r="I33" s="99">
        <v>8.3992800000000007E-5</v>
      </c>
      <c r="J33" s="133">
        <v>8.8382399999999996E-5</v>
      </c>
      <c r="K33" s="99">
        <v>7.47835E-5</v>
      </c>
      <c r="L33" s="116">
        <v>7.9294699999999998E-5</v>
      </c>
      <c r="M33" s="2">
        <v>36</v>
      </c>
      <c r="N33" s="2">
        <v>8</v>
      </c>
      <c r="O33" s="2">
        <v>42</v>
      </c>
      <c r="P33" s="126">
        <v>0</v>
      </c>
      <c r="Q33" s="106">
        <v>4</v>
      </c>
      <c r="R33" s="127">
        <v>14</v>
      </c>
      <c r="S33" s="2">
        <v>1</v>
      </c>
      <c r="T33" s="2">
        <v>1</v>
      </c>
      <c r="U33" s="127">
        <v>11</v>
      </c>
      <c r="V33" s="2">
        <v>1</v>
      </c>
      <c r="W33" s="2">
        <v>1</v>
      </c>
      <c r="X33" s="109">
        <v>8</v>
      </c>
    </row>
    <row r="34" spans="1:24" x14ac:dyDescent="0.25">
      <c r="B34">
        <v>20120907</v>
      </c>
      <c r="C34" s="103">
        <v>14008.5</v>
      </c>
      <c r="D34" s="108">
        <v>7011.6</v>
      </c>
      <c r="E34" s="99">
        <v>9.0996100000000001E-5</v>
      </c>
      <c r="F34" s="99">
        <v>1.07247E-4</v>
      </c>
      <c r="G34" s="132">
        <v>6.5233699999999999E-5</v>
      </c>
      <c r="H34" s="133">
        <v>6.9251999999999994E-5</v>
      </c>
      <c r="I34" s="99">
        <v>4.4592499999999997E-5</v>
      </c>
      <c r="J34" s="133">
        <v>4.8414000000000001E-5</v>
      </c>
      <c r="K34" s="99">
        <v>1.62382E-5</v>
      </c>
      <c r="L34" s="116">
        <v>1.1042900000000001E-5</v>
      </c>
      <c r="M34" s="2">
        <v>13</v>
      </c>
      <c r="N34" s="2">
        <v>38</v>
      </c>
      <c r="O34" s="2">
        <v>58</v>
      </c>
      <c r="P34" s="126">
        <v>4</v>
      </c>
      <c r="Q34" s="106">
        <v>4</v>
      </c>
      <c r="R34" s="127">
        <v>26</v>
      </c>
      <c r="S34" s="2">
        <v>1</v>
      </c>
      <c r="T34" s="2">
        <v>3</v>
      </c>
      <c r="U34" s="127">
        <v>14</v>
      </c>
      <c r="V34" s="2">
        <v>1</v>
      </c>
      <c r="W34" s="2">
        <v>1</v>
      </c>
      <c r="X34" s="109">
        <v>1</v>
      </c>
    </row>
    <row r="35" spans="1:24" x14ac:dyDescent="0.25">
      <c r="B35">
        <v>20120924</v>
      </c>
      <c r="C35" s="103">
        <v>13169.2</v>
      </c>
      <c r="D35" s="108">
        <v>7010.4</v>
      </c>
      <c r="E35" s="99">
        <v>1.90999E-5</v>
      </c>
      <c r="F35" s="99">
        <v>2.9827000000000001E-5</v>
      </c>
      <c r="G35" s="132">
        <v>5.1154600000000001E-6</v>
      </c>
      <c r="H35" s="133">
        <v>4.24316E-6</v>
      </c>
      <c r="I35" s="99">
        <v>2.29199E-6</v>
      </c>
      <c r="J35" s="133">
        <v>2.8079799999999999E-6</v>
      </c>
      <c r="K35" s="100">
        <v>1.9999999999999999E-7</v>
      </c>
      <c r="L35" s="118">
        <v>1.9999999999999999E-7</v>
      </c>
      <c r="M35" s="2">
        <v>5</v>
      </c>
      <c r="N35" s="2">
        <v>31</v>
      </c>
      <c r="O35" s="2">
        <v>22</v>
      </c>
      <c r="P35" s="126">
        <v>2</v>
      </c>
      <c r="Q35" s="106">
        <v>0</v>
      </c>
      <c r="R35" s="127">
        <v>3</v>
      </c>
      <c r="S35" s="2">
        <v>0</v>
      </c>
      <c r="T35" s="2">
        <v>0</v>
      </c>
      <c r="U35" s="127">
        <v>1</v>
      </c>
      <c r="V35" s="2">
        <v>0</v>
      </c>
      <c r="W35" s="2">
        <v>0</v>
      </c>
      <c r="X35" s="109">
        <v>0</v>
      </c>
    </row>
    <row r="36" spans="1:24" x14ac:dyDescent="0.25">
      <c r="B36">
        <v>20120992</v>
      </c>
      <c r="C36" s="103">
        <v>12292.9</v>
      </c>
      <c r="D36" s="108">
        <v>6748.6</v>
      </c>
      <c r="E36" s="99">
        <v>5.0210899999999997E-5</v>
      </c>
      <c r="F36" s="99">
        <v>5.5810000000000003E-5</v>
      </c>
      <c r="G36" s="132">
        <v>1.1565200000000001E-5</v>
      </c>
      <c r="H36" s="133">
        <v>9.1396100000000004E-6</v>
      </c>
      <c r="I36" s="99">
        <v>7.1170699999999998E-7</v>
      </c>
      <c r="J36" s="133">
        <v>2.0742399999999998E-6</v>
      </c>
      <c r="K36" s="100">
        <v>1.9999999999999999E-7</v>
      </c>
      <c r="L36" s="118">
        <v>1.9999999999999999E-7</v>
      </c>
      <c r="M36" s="2">
        <v>17</v>
      </c>
      <c r="N36" s="2">
        <v>40</v>
      </c>
      <c r="O36" s="2">
        <v>46</v>
      </c>
      <c r="P36" s="126">
        <v>7</v>
      </c>
      <c r="Q36" s="106">
        <v>2</v>
      </c>
      <c r="R36" s="127">
        <v>7</v>
      </c>
      <c r="S36" s="2">
        <v>0</v>
      </c>
      <c r="T36" s="2">
        <v>1</v>
      </c>
      <c r="U36" s="127">
        <v>1</v>
      </c>
      <c r="V36" s="2">
        <v>0</v>
      </c>
      <c r="W36" s="2">
        <v>0</v>
      </c>
      <c r="X36" s="109">
        <v>0</v>
      </c>
    </row>
    <row r="37" spans="1:24" x14ac:dyDescent="0.25">
      <c r="B37">
        <v>20121009</v>
      </c>
      <c r="C37" s="103">
        <v>11856.6</v>
      </c>
      <c r="D37" s="108">
        <v>5956.4</v>
      </c>
      <c r="E37" s="99">
        <v>4.7889300000000002E-5</v>
      </c>
      <c r="F37" s="99">
        <v>4.9499400000000002E-5</v>
      </c>
      <c r="G37" s="132">
        <v>7.5634000000000003E-6</v>
      </c>
      <c r="H37" s="133">
        <v>1.21913E-5</v>
      </c>
      <c r="I37" s="99">
        <v>4.42736E-7</v>
      </c>
      <c r="J37" s="133">
        <v>8.8129600000000003E-7</v>
      </c>
      <c r="K37" s="100">
        <v>1.9999999999999999E-7</v>
      </c>
      <c r="L37" s="118">
        <v>1.9999999999999999E-7</v>
      </c>
      <c r="M37" s="2">
        <v>13</v>
      </c>
      <c r="N37" s="2">
        <v>29</v>
      </c>
      <c r="O37" s="2">
        <v>45</v>
      </c>
      <c r="P37" s="126">
        <v>2</v>
      </c>
      <c r="Q37" s="106">
        <v>2</v>
      </c>
      <c r="R37" s="127">
        <v>6</v>
      </c>
      <c r="S37" s="2">
        <v>0</v>
      </c>
      <c r="T37" s="2">
        <v>0</v>
      </c>
      <c r="U37" s="127">
        <v>1</v>
      </c>
      <c r="V37" s="2">
        <v>0</v>
      </c>
      <c r="W37" s="2">
        <v>0</v>
      </c>
      <c r="X37" s="109">
        <v>0</v>
      </c>
    </row>
    <row r="38" spans="1:24" x14ac:dyDescent="0.25">
      <c r="B38">
        <v>20121026</v>
      </c>
      <c r="C38" s="103">
        <v>18128.3</v>
      </c>
      <c r="D38" s="108">
        <v>7239.6</v>
      </c>
      <c r="E38" s="99">
        <v>6.8120400000000006E-5</v>
      </c>
      <c r="F38" s="99">
        <v>7.5530299999999997E-5</v>
      </c>
      <c r="G38" s="132">
        <v>4.5751399999999997E-5</v>
      </c>
      <c r="H38" s="133">
        <v>5.0212600000000001E-5</v>
      </c>
      <c r="I38" s="99">
        <v>4.21801E-5</v>
      </c>
      <c r="J38" s="133">
        <v>4.6768399999999998E-5</v>
      </c>
      <c r="K38" s="99">
        <v>1.2789199999999999E-5</v>
      </c>
      <c r="L38" s="116">
        <v>1.8006400000000001E-5</v>
      </c>
      <c r="M38" s="2">
        <v>8</v>
      </c>
      <c r="N38" s="2">
        <v>22</v>
      </c>
      <c r="O38" s="2">
        <v>44</v>
      </c>
      <c r="P38" s="126">
        <v>0</v>
      </c>
      <c r="Q38" s="106">
        <v>4</v>
      </c>
      <c r="R38" s="127">
        <v>17</v>
      </c>
      <c r="S38" s="2">
        <v>0</v>
      </c>
      <c r="T38" s="2">
        <v>3</v>
      </c>
      <c r="U38" s="127">
        <v>15</v>
      </c>
      <c r="V38" s="2">
        <v>0</v>
      </c>
      <c r="W38" s="2">
        <v>4</v>
      </c>
      <c r="X38" s="109">
        <v>4</v>
      </c>
    </row>
    <row r="39" spans="1:24" x14ac:dyDescent="0.25">
      <c r="B39">
        <v>20121040</v>
      </c>
      <c r="C39" s="103">
        <v>32097.9</v>
      </c>
      <c r="D39" s="108">
        <v>7173.9</v>
      </c>
      <c r="E39" s="99">
        <v>2.54307E-5</v>
      </c>
      <c r="F39" s="99">
        <v>3.3598700000000001E-5</v>
      </c>
      <c r="G39" s="132">
        <v>2.19418E-6</v>
      </c>
      <c r="H39" s="133">
        <v>7.9271000000000007E-6</v>
      </c>
      <c r="I39" s="99">
        <v>1.0630199999999999E-6</v>
      </c>
      <c r="J39" s="133">
        <v>3.5367099999999998E-6</v>
      </c>
      <c r="K39" s="101">
        <v>3.4071100000000001E-7</v>
      </c>
      <c r="L39" s="116">
        <v>2.0122599999999999E-6</v>
      </c>
      <c r="M39" s="2">
        <v>27</v>
      </c>
      <c r="N39" s="2">
        <v>20</v>
      </c>
      <c r="O39" s="2">
        <v>33</v>
      </c>
      <c r="P39" s="126">
        <v>0</v>
      </c>
      <c r="Q39" s="106">
        <v>4</v>
      </c>
      <c r="R39" s="127">
        <v>6</v>
      </c>
      <c r="S39" s="2">
        <v>1</v>
      </c>
      <c r="T39" s="2">
        <v>1</v>
      </c>
      <c r="U39" s="127">
        <v>4</v>
      </c>
      <c r="V39" s="2">
        <v>0</v>
      </c>
      <c r="W39" s="2">
        <v>1</v>
      </c>
      <c r="X39" s="109">
        <v>2</v>
      </c>
    </row>
    <row r="40" spans="1:24" x14ac:dyDescent="0.25">
      <c r="B40">
        <v>20121047</v>
      </c>
      <c r="C40" s="103">
        <v>18229.400000000001</v>
      </c>
      <c r="D40" s="108">
        <v>6961</v>
      </c>
      <c r="E40" s="99">
        <v>1.8715E-4</v>
      </c>
      <c r="F40" s="99">
        <v>2.2214899999999999E-4</v>
      </c>
      <c r="G40" s="132">
        <v>1.56506E-4</v>
      </c>
      <c r="H40" s="133">
        <v>1.8657999999999999E-4</v>
      </c>
      <c r="I40" s="99">
        <v>1.28238E-4</v>
      </c>
      <c r="J40" s="133">
        <v>1.5082299999999999E-4</v>
      </c>
      <c r="K40" s="99">
        <v>8.2644600000000005E-5</v>
      </c>
      <c r="L40" s="116">
        <v>7.2646199999999996E-5</v>
      </c>
      <c r="M40" s="2">
        <v>25</v>
      </c>
      <c r="N40" s="2">
        <v>25</v>
      </c>
      <c r="O40" s="2">
        <v>103</v>
      </c>
      <c r="P40" s="126">
        <v>13</v>
      </c>
      <c r="Q40" s="106">
        <v>3</v>
      </c>
      <c r="R40" s="127">
        <v>64</v>
      </c>
      <c r="S40" s="2">
        <v>8</v>
      </c>
      <c r="T40" s="2">
        <v>5</v>
      </c>
      <c r="U40" s="127">
        <v>39</v>
      </c>
      <c r="V40" s="2">
        <v>1</v>
      </c>
      <c r="W40" s="2">
        <v>2</v>
      </c>
      <c r="X40" s="109">
        <v>10</v>
      </c>
    </row>
    <row r="41" spans="1:24" x14ac:dyDescent="0.25">
      <c r="B41">
        <v>20121105</v>
      </c>
      <c r="C41" s="103">
        <v>5823.6</v>
      </c>
      <c r="D41" s="108">
        <v>4141.1000000000004</v>
      </c>
      <c r="E41" s="99">
        <v>1.4669999999999999E-4</v>
      </c>
      <c r="F41" s="99">
        <v>1.9151500000000001E-4</v>
      </c>
      <c r="G41" s="132">
        <v>1.1650399999999999E-4</v>
      </c>
      <c r="H41" s="133">
        <v>1.46515E-4</v>
      </c>
      <c r="I41" s="99">
        <v>9.9227400000000005E-5</v>
      </c>
      <c r="J41" s="133">
        <v>1.2369799999999999E-4</v>
      </c>
      <c r="K41" s="99">
        <v>7.2185899999999996E-5</v>
      </c>
      <c r="L41" s="116">
        <v>9.8028800000000006E-5</v>
      </c>
      <c r="M41" s="2">
        <v>4</v>
      </c>
      <c r="N41" s="2">
        <v>37</v>
      </c>
      <c r="O41" s="2">
        <v>94</v>
      </c>
      <c r="P41" s="126">
        <v>4</v>
      </c>
      <c r="Q41" s="106">
        <v>7</v>
      </c>
      <c r="R41" s="127">
        <v>75</v>
      </c>
      <c r="S41" s="2">
        <v>5</v>
      </c>
      <c r="T41" s="2">
        <v>2</v>
      </c>
      <c r="U41" s="127">
        <v>62</v>
      </c>
      <c r="V41" s="2">
        <v>1</v>
      </c>
      <c r="W41" s="2">
        <v>1</v>
      </c>
      <c r="X41" s="109">
        <v>46</v>
      </c>
    </row>
    <row r="42" spans="1:24" x14ac:dyDescent="0.25">
      <c r="B42">
        <v>20121116</v>
      </c>
      <c r="C42" s="103">
        <v>26885.7</v>
      </c>
      <c r="D42" s="108">
        <v>7404.4</v>
      </c>
      <c r="E42" s="99">
        <v>8.8772199999999997E-5</v>
      </c>
      <c r="F42" s="99">
        <v>1.2755199999999999E-4</v>
      </c>
      <c r="G42" s="132">
        <v>4.9852999999999999E-5</v>
      </c>
      <c r="H42" s="133">
        <v>7.0009099999999993E-5</v>
      </c>
      <c r="I42" s="99">
        <v>4.4565099999999998E-5</v>
      </c>
      <c r="J42" s="133">
        <v>6.94774E-5</v>
      </c>
      <c r="K42" s="99">
        <v>3.5160699999999997E-5</v>
      </c>
      <c r="L42" s="116">
        <v>6.1974299999999994E-5</v>
      </c>
      <c r="M42" s="2">
        <v>41</v>
      </c>
      <c r="N42" s="2">
        <v>49</v>
      </c>
      <c r="O42" s="2">
        <v>70</v>
      </c>
      <c r="P42" s="126">
        <v>1</v>
      </c>
      <c r="Q42" s="106">
        <v>1</v>
      </c>
      <c r="R42" s="127">
        <v>7</v>
      </c>
      <c r="S42" s="2">
        <v>0</v>
      </c>
      <c r="T42" s="2">
        <v>2</v>
      </c>
      <c r="U42" s="127">
        <v>5</v>
      </c>
      <c r="V42" s="2">
        <v>0</v>
      </c>
      <c r="W42" s="2">
        <v>1</v>
      </c>
      <c r="X42" s="109">
        <v>3</v>
      </c>
    </row>
    <row r="43" spans="1:24" x14ac:dyDescent="0.25">
      <c r="B43">
        <v>20121156</v>
      </c>
      <c r="C43" s="103">
        <v>20774</v>
      </c>
      <c r="D43" s="108">
        <v>7214.8</v>
      </c>
      <c r="E43" s="99">
        <v>4.9842700000000003E-5</v>
      </c>
      <c r="F43" s="99">
        <v>7.1181900000000004E-5</v>
      </c>
      <c r="G43" s="132">
        <v>1.4887499999999999E-5</v>
      </c>
      <c r="H43" s="133">
        <v>1.72195E-5</v>
      </c>
      <c r="I43" s="99">
        <v>1.4045200000000001E-5</v>
      </c>
      <c r="J43" s="133">
        <v>1.27933E-5</v>
      </c>
      <c r="K43" s="99">
        <v>1.3224000000000001E-5</v>
      </c>
      <c r="L43" s="116">
        <v>1.27933E-5</v>
      </c>
      <c r="M43" s="2">
        <v>25</v>
      </c>
      <c r="N43" s="2">
        <v>48</v>
      </c>
      <c r="O43" s="2">
        <v>59</v>
      </c>
      <c r="P43" s="126">
        <v>1</v>
      </c>
      <c r="Q43" s="106">
        <v>1</v>
      </c>
      <c r="R43" s="127">
        <v>4</v>
      </c>
      <c r="S43" s="2">
        <v>1</v>
      </c>
      <c r="T43" s="2">
        <v>0</v>
      </c>
      <c r="U43" s="127">
        <v>1</v>
      </c>
      <c r="V43" s="2">
        <v>0</v>
      </c>
      <c r="W43" s="2">
        <v>0</v>
      </c>
      <c r="X43" s="109">
        <v>1</v>
      </c>
    </row>
    <row r="44" spans="1:24" x14ac:dyDescent="0.25">
      <c r="B44">
        <v>20121201</v>
      </c>
      <c r="C44" s="103">
        <v>19548.2</v>
      </c>
      <c r="D44" s="108">
        <v>5960.4</v>
      </c>
      <c r="E44" s="99">
        <v>1.25673E-4</v>
      </c>
      <c r="F44" s="99">
        <v>2.0146199999999999E-4</v>
      </c>
      <c r="G44" s="132">
        <v>9.0876000000000002E-5</v>
      </c>
      <c r="H44" s="133">
        <v>1.4693200000000001E-4</v>
      </c>
      <c r="I44" s="99">
        <v>7.4629799999999995E-5</v>
      </c>
      <c r="J44" s="133">
        <v>1.2014399999999999E-4</v>
      </c>
      <c r="K44" s="99">
        <v>3.5737200000000001E-5</v>
      </c>
      <c r="L44" s="116">
        <v>6.7667899999999996E-5</v>
      </c>
      <c r="M44" s="2">
        <v>25</v>
      </c>
      <c r="N44" s="2">
        <v>40</v>
      </c>
      <c r="O44" s="2">
        <v>97</v>
      </c>
      <c r="P44" s="126">
        <v>5</v>
      </c>
      <c r="Q44" s="106">
        <v>1</v>
      </c>
      <c r="R44" s="127">
        <v>50</v>
      </c>
      <c r="S44" s="2">
        <v>3</v>
      </c>
      <c r="T44" s="2">
        <v>4</v>
      </c>
      <c r="U44" s="127">
        <v>25</v>
      </c>
      <c r="V44" s="2">
        <v>2</v>
      </c>
      <c r="W44" s="2">
        <v>2</v>
      </c>
      <c r="X44" s="109">
        <v>8</v>
      </c>
    </row>
    <row r="45" spans="1:24" x14ac:dyDescent="0.25">
      <c r="B45">
        <v>20121208</v>
      </c>
      <c r="C45" s="103">
        <v>13601.7</v>
      </c>
      <c r="D45" s="108">
        <v>6433.7</v>
      </c>
      <c r="E45" s="99">
        <v>3.1646500000000003E-5</v>
      </c>
      <c r="F45" s="99">
        <v>6.7992799999999997E-5</v>
      </c>
      <c r="G45" s="132">
        <v>1.3379E-5</v>
      </c>
      <c r="H45" s="133">
        <v>2.08738E-5</v>
      </c>
      <c r="I45" s="99">
        <v>1.20283E-5</v>
      </c>
      <c r="J45" s="133">
        <v>1.863E-5</v>
      </c>
      <c r="K45" s="99">
        <v>7.65434E-6</v>
      </c>
      <c r="L45" s="116">
        <v>1.6046299999999999E-5</v>
      </c>
      <c r="M45" s="2">
        <v>7</v>
      </c>
      <c r="N45" s="2">
        <v>59</v>
      </c>
      <c r="O45" s="2">
        <v>37</v>
      </c>
      <c r="P45" s="126">
        <v>2</v>
      </c>
      <c r="Q45" s="106">
        <v>2</v>
      </c>
      <c r="R45" s="127">
        <v>5</v>
      </c>
      <c r="S45" s="2">
        <v>0</v>
      </c>
      <c r="T45" s="2">
        <v>0</v>
      </c>
      <c r="U45" s="127">
        <v>3</v>
      </c>
      <c r="V45" s="2">
        <v>0</v>
      </c>
      <c r="W45" s="2">
        <v>0</v>
      </c>
      <c r="X45" s="109">
        <v>2</v>
      </c>
    </row>
    <row r="46" spans="1:24" x14ac:dyDescent="0.25">
      <c r="B46">
        <v>20121380</v>
      </c>
      <c r="C46" s="103">
        <v>5289.3</v>
      </c>
      <c r="D46" s="108">
        <v>5249.5</v>
      </c>
      <c r="E46" s="99">
        <v>5.3600499999999999E-4</v>
      </c>
      <c r="F46" s="99">
        <v>5.5782100000000001E-4</v>
      </c>
      <c r="G46" s="132">
        <v>5.0730700000000003E-4</v>
      </c>
      <c r="H46" s="133">
        <v>4.8582200000000001E-4</v>
      </c>
      <c r="I46" s="99">
        <v>4.6049600000000002E-4</v>
      </c>
      <c r="J46" s="133">
        <v>4.4373999999999998E-4</v>
      </c>
      <c r="K46" s="99">
        <v>3.7886700000000002E-4</v>
      </c>
      <c r="L46" s="116">
        <v>3.6557499999999998E-4</v>
      </c>
      <c r="M46" s="2">
        <v>7</v>
      </c>
      <c r="N46" s="2">
        <v>74</v>
      </c>
      <c r="O46" s="2">
        <v>124</v>
      </c>
      <c r="P46" s="126">
        <v>9</v>
      </c>
      <c r="Q46" s="106">
        <v>1</v>
      </c>
      <c r="R46" s="127">
        <v>94</v>
      </c>
      <c r="S46" s="2">
        <v>6</v>
      </c>
      <c r="T46" s="2">
        <v>0</v>
      </c>
      <c r="U46" s="127">
        <v>72</v>
      </c>
      <c r="V46" s="2">
        <v>5</v>
      </c>
      <c r="W46" s="2">
        <v>0</v>
      </c>
      <c r="X46" s="109">
        <v>37</v>
      </c>
    </row>
    <row r="47" spans="1:24" x14ac:dyDescent="0.25">
      <c r="C47" s="105"/>
      <c r="D47" s="109"/>
      <c r="E47" s="2"/>
      <c r="F47" s="2"/>
      <c r="G47" s="126"/>
      <c r="H47" s="127"/>
      <c r="I47" s="2"/>
      <c r="J47" s="127"/>
      <c r="K47" s="2"/>
      <c r="L47" s="109"/>
      <c r="M47" s="2"/>
      <c r="N47" s="2"/>
      <c r="O47" s="2"/>
      <c r="P47" s="126"/>
      <c r="Q47" s="106"/>
      <c r="R47" s="127"/>
      <c r="S47" s="2"/>
      <c r="T47" s="2"/>
      <c r="U47" s="127"/>
      <c r="V47" s="2"/>
      <c r="W47" s="2"/>
      <c r="X47" s="109"/>
    </row>
    <row r="48" spans="1:24" x14ac:dyDescent="0.25">
      <c r="A48" t="s">
        <v>1103</v>
      </c>
      <c r="B48">
        <v>20080358</v>
      </c>
      <c r="C48" s="103">
        <v>2056.5</v>
      </c>
      <c r="D48" s="108">
        <v>2048.5</v>
      </c>
      <c r="E48" s="99">
        <v>3.0734999999999998E-3</v>
      </c>
      <c r="F48" s="99">
        <v>2.7807499999999998E-3</v>
      </c>
      <c r="G48" s="132">
        <v>3.0628299999999999E-3</v>
      </c>
      <c r="H48" s="133">
        <v>2.7390000000000001E-3</v>
      </c>
      <c r="I48" s="99">
        <v>3.04726E-3</v>
      </c>
      <c r="J48" s="133">
        <v>2.7077400000000001E-3</v>
      </c>
      <c r="K48" s="99">
        <v>3.0357499999999998E-3</v>
      </c>
      <c r="L48" s="116">
        <v>2.6925400000000002E-3</v>
      </c>
      <c r="M48" s="2">
        <v>1</v>
      </c>
      <c r="N48" s="2">
        <v>49</v>
      </c>
      <c r="O48" s="2">
        <v>34</v>
      </c>
      <c r="P48" s="126">
        <v>1</v>
      </c>
      <c r="Q48" s="106">
        <v>21</v>
      </c>
      <c r="R48" s="127">
        <v>29</v>
      </c>
      <c r="S48" s="2">
        <v>1</v>
      </c>
      <c r="T48" s="2">
        <v>4</v>
      </c>
      <c r="U48" s="127">
        <v>24</v>
      </c>
      <c r="V48" s="2">
        <v>2</v>
      </c>
      <c r="W48" s="2">
        <v>0</v>
      </c>
      <c r="X48" s="109">
        <v>13</v>
      </c>
    </row>
    <row r="49" spans="2:24" x14ac:dyDescent="0.25">
      <c r="B49">
        <v>20090123</v>
      </c>
      <c r="C49" s="103">
        <v>24317.7</v>
      </c>
      <c r="D49" s="108">
        <v>6916.5</v>
      </c>
      <c r="E49" s="99">
        <v>5.6795600000000002E-5</v>
      </c>
      <c r="F49" s="99">
        <v>4.7813199999999998E-5</v>
      </c>
      <c r="G49" s="132">
        <v>2.4348700000000002E-6</v>
      </c>
      <c r="H49" s="133">
        <v>5.77056E-6</v>
      </c>
      <c r="I49" s="100">
        <v>4.9999999999999998E-7</v>
      </c>
      <c r="J49" s="133">
        <v>3.3608800000000002E-6</v>
      </c>
      <c r="K49" s="100">
        <v>4.9999999999999998E-7</v>
      </c>
      <c r="L49" s="118">
        <v>4.9999999999999998E-7</v>
      </c>
      <c r="M49" s="2">
        <v>29</v>
      </c>
      <c r="N49" s="2">
        <v>17</v>
      </c>
      <c r="O49" s="2">
        <v>52</v>
      </c>
      <c r="P49" s="126">
        <v>0</v>
      </c>
      <c r="Q49" s="106">
        <v>2</v>
      </c>
      <c r="R49" s="127">
        <v>2</v>
      </c>
      <c r="S49" s="2">
        <v>0</v>
      </c>
      <c r="T49" s="2">
        <v>2</v>
      </c>
      <c r="U49" s="127">
        <v>0</v>
      </c>
      <c r="V49" s="2">
        <v>0</v>
      </c>
      <c r="W49" s="2">
        <v>0</v>
      </c>
      <c r="X49" s="109">
        <v>0</v>
      </c>
    </row>
    <row r="50" spans="2:24" x14ac:dyDescent="0.25">
      <c r="B50">
        <v>20090711</v>
      </c>
      <c r="C50" s="103">
        <v>6432.2</v>
      </c>
      <c r="D50" s="108">
        <v>4904.3</v>
      </c>
      <c r="E50" s="99">
        <v>1.4360299999999999E-4</v>
      </c>
      <c r="F50" s="99">
        <v>1.4112099999999999E-4</v>
      </c>
      <c r="G50" s="132">
        <v>1.2580600000000001E-4</v>
      </c>
      <c r="H50" s="133">
        <v>1.13398E-4</v>
      </c>
      <c r="I50" s="99">
        <v>1.08418E-4</v>
      </c>
      <c r="J50" s="133">
        <v>9.9983300000000002E-5</v>
      </c>
      <c r="K50" s="99">
        <v>1.03372E-4</v>
      </c>
      <c r="L50" s="116">
        <v>9.5243399999999997E-5</v>
      </c>
      <c r="M50" s="2">
        <v>0</v>
      </c>
      <c r="N50" s="2">
        <v>14</v>
      </c>
      <c r="O50" s="2">
        <v>37</v>
      </c>
      <c r="P50" s="126">
        <v>2</v>
      </c>
      <c r="Q50" s="106">
        <v>1</v>
      </c>
      <c r="R50" s="127">
        <v>20</v>
      </c>
      <c r="S50" s="2">
        <v>1</v>
      </c>
      <c r="T50" s="2">
        <v>0</v>
      </c>
      <c r="U50" s="127">
        <v>12</v>
      </c>
      <c r="V50" s="2">
        <v>0</v>
      </c>
      <c r="W50" s="2">
        <v>0</v>
      </c>
      <c r="X50" s="109">
        <v>8</v>
      </c>
    </row>
    <row r="51" spans="2:24" x14ac:dyDescent="0.25">
      <c r="B51">
        <v>20090892</v>
      </c>
      <c r="C51" s="103">
        <v>19500.599999999999</v>
      </c>
      <c r="D51" s="108">
        <v>5534.5</v>
      </c>
      <c r="E51" s="99">
        <v>1.2511999999999999E-4</v>
      </c>
      <c r="F51" s="99">
        <v>1.4787700000000001E-4</v>
      </c>
      <c r="G51" s="132">
        <v>1.0849900000000001E-4</v>
      </c>
      <c r="H51" s="133">
        <v>1.2616299999999999E-4</v>
      </c>
      <c r="I51" s="99">
        <v>6.6889600000000004E-5</v>
      </c>
      <c r="J51" s="133">
        <v>1.00645E-4</v>
      </c>
      <c r="K51" s="99">
        <v>1.5609099999999999E-5</v>
      </c>
      <c r="L51" s="116">
        <v>4.6518599999999999E-5</v>
      </c>
      <c r="M51" s="2">
        <v>11</v>
      </c>
      <c r="N51" s="2">
        <v>15</v>
      </c>
      <c r="O51" s="2">
        <v>51</v>
      </c>
      <c r="P51" s="126">
        <v>2</v>
      </c>
      <c r="Q51" s="106">
        <v>1</v>
      </c>
      <c r="R51" s="127">
        <v>33</v>
      </c>
      <c r="S51" s="2">
        <v>1</v>
      </c>
      <c r="T51" s="2">
        <v>6</v>
      </c>
      <c r="U51" s="127">
        <v>15</v>
      </c>
      <c r="V51" s="2">
        <v>0</v>
      </c>
      <c r="W51" s="2">
        <v>2</v>
      </c>
      <c r="X51" s="109">
        <v>4</v>
      </c>
    </row>
    <row r="52" spans="2:24" x14ac:dyDescent="0.25">
      <c r="B52">
        <v>20090965</v>
      </c>
      <c r="C52" s="103">
        <v>18388.5</v>
      </c>
      <c r="D52" s="108">
        <v>6453.3</v>
      </c>
      <c r="E52" s="99">
        <v>1.4003299999999999E-4</v>
      </c>
      <c r="F52" s="99">
        <v>2.0158400000000001E-4</v>
      </c>
      <c r="G52" s="132">
        <v>1.12151E-4</v>
      </c>
      <c r="H52" s="133">
        <v>1.7568999999999999E-4</v>
      </c>
      <c r="I52" s="99">
        <v>8.2598500000000005E-5</v>
      </c>
      <c r="J52" s="133">
        <v>1.5271699999999999E-4</v>
      </c>
      <c r="K52" s="99">
        <v>3.0816399999999999E-5</v>
      </c>
      <c r="L52" s="116">
        <v>9.4607300000000005E-5</v>
      </c>
      <c r="M52" s="2">
        <v>10</v>
      </c>
      <c r="N52" s="2">
        <v>12</v>
      </c>
      <c r="O52" s="2">
        <v>58</v>
      </c>
      <c r="P52" s="126">
        <v>3</v>
      </c>
      <c r="Q52" s="106">
        <v>2</v>
      </c>
      <c r="R52" s="127">
        <v>33</v>
      </c>
      <c r="S52" s="2">
        <v>1</v>
      </c>
      <c r="T52" s="2">
        <v>1</v>
      </c>
      <c r="U52" s="127">
        <v>22</v>
      </c>
      <c r="V52" s="2">
        <v>0</v>
      </c>
      <c r="W52" s="2">
        <v>2</v>
      </c>
      <c r="X52" s="109">
        <v>4</v>
      </c>
    </row>
    <row r="53" spans="2:24" x14ac:dyDescent="0.25">
      <c r="B53">
        <v>20091068</v>
      </c>
      <c r="C53" s="103">
        <v>10236.5</v>
      </c>
      <c r="D53" s="108">
        <v>6839.5</v>
      </c>
      <c r="E53" s="99">
        <v>1.9010899999999999E-4</v>
      </c>
      <c r="F53" s="99">
        <v>2.01807E-4</v>
      </c>
      <c r="G53" s="132">
        <v>1.8059700000000001E-4</v>
      </c>
      <c r="H53" s="133">
        <v>1.8430000000000001E-4</v>
      </c>
      <c r="I53" s="99">
        <v>1.7781200000000001E-4</v>
      </c>
      <c r="J53" s="133">
        <v>1.8237599999999999E-4</v>
      </c>
      <c r="K53" s="99">
        <v>1.4829099999999999E-4</v>
      </c>
      <c r="L53" s="116">
        <v>1.6852499999999999E-4</v>
      </c>
      <c r="M53" s="2">
        <v>3</v>
      </c>
      <c r="N53" s="2">
        <v>17</v>
      </c>
      <c r="O53" s="2">
        <v>38</v>
      </c>
      <c r="P53" s="126">
        <v>1</v>
      </c>
      <c r="Q53" s="106">
        <v>0</v>
      </c>
      <c r="R53" s="127">
        <v>25</v>
      </c>
      <c r="S53" s="2">
        <v>1</v>
      </c>
      <c r="T53" s="2">
        <v>0</v>
      </c>
      <c r="U53" s="127">
        <v>24</v>
      </c>
      <c r="V53" s="2">
        <v>2</v>
      </c>
      <c r="W53" s="2">
        <v>2</v>
      </c>
      <c r="X53" s="109">
        <v>18</v>
      </c>
    </row>
    <row r="54" spans="2:24" x14ac:dyDescent="0.25">
      <c r="B54">
        <v>20091069</v>
      </c>
      <c r="C54" s="103">
        <v>28091.4</v>
      </c>
      <c r="D54" s="108">
        <v>5867.3</v>
      </c>
      <c r="E54" s="99">
        <v>7.6426699999999998E-5</v>
      </c>
      <c r="F54" s="99">
        <v>7.6846200000000003E-5</v>
      </c>
      <c r="G54" s="132">
        <v>3.2413000000000003E-5</v>
      </c>
      <c r="H54" s="133">
        <v>3.9170600000000001E-5</v>
      </c>
      <c r="I54" s="99">
        <v>3.2787699999999999E-6</v>
      </c>
      <c r="J54" s="133">
        <v>1.5847700000000001E-5</v>
      </c>
      <c r="K54" s="100">
        <v>4.9999999999999998E-7</v>
      </c>
      <c r="L54" s="118">
        <v>4.9999999999999998E-7</v>
      </c>
      <c r="M54" s="2">
        <v>27</v>
      </c>
      <c r="N54" s="2">
        <v>17</v>
      </c>
      <c r="O54" s="2">
        <v>55</v>
      </c>
      <c r="P54" s="126">
        <v>3</v>
      </c>
      <c r="Q54" s="106">
        <v>2</v>
      </c>
      <c r="R54" s="127">
        <v>20</v>
      </c>
      <c r="S54" s="2">
        <v>0</v>
      </c>
      <c r="T54" s="2">
        <v>2</v>
      </c>
      <c r="U54" s="127">
        <v>6</v>
      </c>
      <c r="V54" s="2">
        <v>0</v>
      </c>
      <c r="W54" s="2">
        <v>0</v>
      </c>
      <c r="X54" s="109">
        <v>0</v>
      </c>
    </row>
    <row r="55" spans="2:24" x14ac:dyDescent="0.25">
      <c r="B55">
        <v>20091094</v>
      </c>
      <c r="C55" s="103">
        <v>5599.9</v>
      </c>
      <c r="D55" s="108">
        <v>5214</v>
      </c>
      <c r="E55" s="99">
        <v>1.20538E-4</v>
      </c>
      <c r="F55" s="99">
        <v>1.2231000000000001E-4</v>
      </c>
      <c r="G55" s="132">
        <v>1.11218E-4</v>
      </c>
      <c r="H55" s="133">
        <v>1.0843E-4</v>
      </c>
      <c r="I55" s="99">
        <v>1.07693E-4</v>
      </c>
      <c r="J55" s="133">
        <v>1.04645E-4</v>
      </c>
      <c r="K55" s="99">
        <v>9.4770099999999996E-5</v>
      </c>
      <c r="L55" s="116">
        <v>9.2110900000000006E-5</v>
      </c>
      <c r="M55" s="2">
        <v>0</v>
      </c>
      <c r="N55" s="2">
        <v>10</v>
      </c>
      <c r="O55" s="2">
        <v>21</v>
      </c>
      <c r="P55" s="126">
        <v>0</v>
      </c>
      <c r="Q55" s="106">
        <v>0</v>
      </c>
      <c r="R55" s="127">
        <v>12</v>
      </c>
      <c r="S55" s="2">
        <v>0</v>
      </c>
      <c r="T55" s="2">
        <v>0</v>
      </c>
      <c r="U55" s="127">
        <v>9</v>
      </c>
      <c r="V55" s="2">
        <v>0</v>
      </c>
      <c r="W55" s="2">
        <v>0</v>
      </c>
      <c r="X55" s="109">
        <v>5</v>
      </c>
    </row>
    <row r="56" spans="2:24" x14ac:dyDescent="0.25">
      <c r="B56">
        <v>20091119</v>
      </c>
      <c r="C56" s="103">
        <v>66730.8</v>
      </c>
      <c r="D56" s="108">
        <v>7340.1</v>
      </c>
      <c r="E56" s="99">
        <v>3.4854699999999997E-5</v>
      </c>
      <c r="F56" s="99">
        <v>3.2386199999999998E-5</v>
      </c>
      <c r="G56" s="132">
        <v>1.16993E-6</v>
      </c>
      <c r="H56" s="133">
        <v>1.08153E-5</v>
      </c>
      <c r="I56" s="99">
        <v>1.16993E-6</v>
      </c>
      <c r="J56" s="133">
        <v>8.3654400000000007E-6</v>
      </c>
      <c r="K56" s="99">
        <v>1.16993E-6</v>
      </c>
      <c r="L56" s="116">
        <v>6.7521000000000001E-6</v>
      </c>
      <c r="M56" s="2">
        <v>59</v>
      </c>
      <c r="N56" s="2">
        <v>20</v>
      </c>
      <c r="O56" s="2">
        <v>22</v>
      </c>
      <c r="P56" s="126">
        <v>0</v>
      </c>
      <c r="Q56" s="106">
        <v>4</v>
      </c>
      <c r="R56" s="127">
        <v>1</v>
      </c>
      <c r="S56" s="2">
        <v>0</v>
      </c>
      <c r="T56" s="2">
        <v>1</v>
      </c>
      <c r="U56" s="127">
        <v>1</v>
      </c>
      <c r="V56" s="2">
        <v>0</v>
      </c>
      <c r="W56" s="2">
        <v>0</v>
      </c>
      <c r="X56" s="109">
        <v>1</v>
      </c>
    </row>
    <row r="57" spans="2:24" x14ac:dyDescent="0.25">
      <c r="B57">
        <v>20091973</v>
      </c>
      <c r="C57" s="103">
        <v>10237.5</v>
      </c>
      <c r="D57" s="108">
        <v>4203.3999999999996</v>
      </c>
      <c r="E57" s="99">
        <v>1.79552E-4</v>
      </c>
      <c r="F57" s="99">
        <v>2.0534899999999999E-4</v>
      </c>
      <c r="G57" s="132">
        <v>1.3495299999999999E-4</v>
      </c>
      <c r="H57" s="133">
        <v>1.56725E-4</v>
      </c>
      <c r="I57" s="99">
        <v>1.10362E-4</v>
      </c>
      <c r="J57" s="133">
        <v>1.4941999999999999E-4</v>
      </c>
      <c r="K57" s="99">
        <v>1.10362E-4</v>
      </c>
      <c r="L57" s="116">
        <v>1.37212E-4</v>
      </c>
      <c r="M57" s="2">
        <v>13</v>
      </c>
      <c r="N57" s="2">
        <v>14</v>
      </c>
      <c r="O57" s="2">
        <v>57</v>
      </c>
      <c r="P57" s="126">
        <v>4</v>
      </c>
      <c r="Q57" s="106">
        <v>1</v>
      </c>
      <c r="R57" s="127">
        <v>24</v>
      </c>
      <c r="S57" s="2">
        <v>1</v>
      </c>
      <c r="T57" s="2">
        <v>3</v>
      </c>
      <c r="U57" s="127">
        <v>18</v>
      </c>
      <c r="V57" s="2">
        <v>1</v>
      </c>
      <c r="W57" s="2">
        <v>0</v>
      </c>
      <c r="X57" s="109">
        <v>18</v>
      </c>
    </row>
    <row r="58" spans="2:24" x14ac:dyDescent="0.25">
      <c r="B58">
        <v>20091980</v>
      </c>
      <c r="C58" s="103">
        <v>34064</v>
      </c>
      <c r="D58" s="108">
        <v>7397.9</v>
      </c>
      <c r="E58" s="99">
        <v>9.3799200000000001E-5</v>
      </c>
      <c r="F58" s="99">
        <v>1.2740700000000001E-4</v>
      </c>
      <c r="G58" s="132">
        <v>6.5035000000000003E-5</v>
      </c>
      <c r="H58" s="133">
        <v>9.35545E-5</v>
      </c>
      <c r="I58" s="99">
        <v>5.1013400000000002E-5</v>
      </c>
      <c r="J58" s="133">
        <v>8.8455900000000001E-5</v>
      </c>
      <c r="K58" s="99">
        <v>3.6180599999999997E-5</v>
      </c>
      <c r="L58" s="116">
        <v>7.7547100000000002E-5</v>
      </c>
      <c r="M58" s="2">
        <v>14</v>
      </c>
      <c r="N58" s="2">
        <v>15</v>
      </c>
      <c r="O58" s="2">
        <v>51</v>
      </c>
      <c r="P58" s="126">
        <v>1</v>
      </c>
      <c r="Q58" s="106">
        <v>0</v>
      </c>
      <c r="R58" s="127">
        <v>10</v>
      </c>
      <c r="S58" s="2">
        <v>1</v>
      </c>
      <c r="T58" s="2">
        <v>2</v>
      </c>
      <c r="U58" s="127">
        <v>5</v>
      </c>
      <c r="V58" s="2">
        <v>0</v>
      </c>
      <c r="W58" s="2">
        <v>0</v>
      </c>
      <c r="X58" s="109">
        <v>3</v>
      </c>
    </row>
    <row r="59" spans="2:24" x14ac:dyDescent="0.25">
      <c r="B59">
        <v>20091981</v>
      </c>
      <c r="C59" s="103">
        <v>39702.5</v>
      </c>
      <c r="D59" s="108">
        <v>7455.4</v>
      </c>
      <c r="E59" s="99">
        <v>3.0500900000000001E-5</v>
      </c>
      <c r="F59" s="99">
        <v>1.75901E-5</v>
      </c>
      <c r="G59" s="132">
        <v>1.30245E-5</v>
      </c>
      <c r="H59" s="133">
        <v>8.1184899999999996E-6</v>
      </c>
      <c r="I59" s="99">
        <v>1.27594E-5</v>
      </c>
      <c r="J59" s="133">
        <v>5.5888200000000003E-6</v>
      </c>
      <c r="K59" s="99">
        <v>1.27594E-5</v>
      </c>
      <c r="L59" s="116">
        <v>5.5888200000000003E-6</v>
      </c>
      <c r="M59" s="2">
        <v>21</v>
      </c>
      <c r="N59" s="2">
        <v>7</v>
      </c>
      <c r="O59" s="2">
        <v>14</v>
      </c>
      <c r="P59" s="126">
        <v>0</v>
      </c>
      <c r="Q59" s="106">
        <v>3</v>
      </c>
      <c r="R59" s="127">
        <v>2</v>
      </c>
      <c r="S59" s="2">
        <v>0</v>
      </c>
      <c r="T59" s="2">
        <v>0</v>
      </c>
      <c r="U59" s="127">
        <v>1</v>
      </c>
      <c r="V59" s="2">
        <v>0</v>
      </c>
      <c r="W59" s="2">
        <v>0</v>
      </c>
      <c r="X59" s="109">
        <v>1</v>
      </c>
    </row>
    <row r="60" spans="2:24" x14ac:dyDescent="0.25">
      <c r="B60">
        <v>20091983</v>
      </c>
      <c r="C60" s="103">
        <v>14059.7</v>
      </c>
      <c r="D60" s="108">
        <v>7102.9</v>
      </c>
      <c r="E60" s="99">
        <v>1.24781E-5</v>
      </c>
      <c r="F60" s="99">
        <v>1.0250300000000001E-5</v>
      </c>
      <c r="G60" s="132">
        <v>1.9029100000000001E-6</v>
      </c>
      <c r="H60" s="133">
        <v>3.2726900000000002E-6</v>
      </c>
      <c r="I60" s="100">
        <v>4.9999999999999998E-7</v>
      </c>
      <c r="J60" s="135">
        <v>4.9999999999999998E-7</v>
      </c>
      <c r="K60" s="100">
        <v>4.9999999999999998E-7</v>
      </c>
      <c r="L60" s="118">
        <v>4.9999999999999998E-7</v>
      </c>
      <c r="M60" s="2">
        <v>8</v>
      </c>
      <c r="N60" s="2">
        <v>8</v>
      </c>
      <c r="O60" s="2">
        <v>7</v>
      </c>
      <c r="P60" s="126">
        <v>0</v>
      </c>
      <c r="Q60" s="106">
        <v>1</v>
      </c>
      <c r="R60" s="127">
        <v>1</v>
      </c>
      <c r="S60" s="2">
        <v>0</v>
      </c>
      <c r="T60" s="2">
        <v>0</v>
      </c>
      <c r="U60" s="127">
        <v>0</v>
      </c>
      <c r="V60" s="2">
        <v>0</v>
      </c>
      <c r="W60" s="2">
        <v>0</v>
      </c>
      <c r="X60" s="109">
        <v>0</v>
      </c>
    </row>
    <row r="61" spans="2:24" x14ac:dyDescent="0.25">
      <c r="B61">
        <v>20092285</v>
      </c>
      <c r="C61" s="103">
        <v>20263.5</v>
      </c>
      <c r="D61" s="108">
        <v>7288.4</v>
      </c>
      <c r="E61" s="99">
        <v>5.0683200000000003E-4</v>
      </c>
      <c r="F61" s="99">
        <v>5.3901199999999995E-4</v>
      </c>
      <c r="G61" s="132">
        <v>4.6579400000000001E-4</v>
      </c>
      <c r="H61" s="133">
        <v>4.9905399999999997E-4</v>
      </c>
      <c r="I61" s="99">
        <v>4.60123E-4</v>
      </c>
      <c r="J61" s="133">
        <v>4.9231399999999999E-4</v>
      </c>
      <c r="K61" s="99">
        <v>4.4159499999999998E-4</v>
      </c>
      <c r="L61" s="116">
        <v>4.6962700000000002E-4</v>
      </c>
      <c r="M61" s="2">
        <v>21</v>
      </c>
      <c r="N61" s="2">
        <v>22</v>
      </c>
      <c r="O61" s="2">
        <v>99</v>
      </c>
      <c r="P61" s="126">
        <v>3</v>
      </c>
      <c r="Q61" s="106">
        <v>2</v>
      </c>
      <c r="R61" s="127">
        <v>48</v>
      </c>
      <c r="S61" s="2">
        <v>2</v>
      </c>
      <c r="T61" s="2">
        <v>1</v>
      </c>
      <c r="U61" s="127">
        <v>45</v>
      </c>
      <c r="V61" s="2">
        <v>3</v>
      </c>
      <c r="W61" s="2">
        <v>0</v>
      </c>
      <c r="X61" s="109">
        <v>39</v>
      </c>
    </row>
    <row r="62" spans="2:24" x14ac:dyDescent="0.25">
      <c r="B62">
        <v>20110089</v>
      </c>
      <c r="C62" s="103">
        <v>14335.4</v>
      </c>
      <c r="D62" s="108">
        <v>4316.2</v>
      </c>
      <c r="E62" s="99">
        <v>2.8312900000000002E-4</v>
      </c>
      <c r="F62" s="99">
        <v>2.46013E-4</v>
      </c>
      <c r="G62" s="132">
        <v>2.6673000000000002E-4</v>
      </c>
      <c r="H62" s="133">
        <v>2.2985599999999999E-4</v>
      </c>
      <c r="I62" s="99">
        <v>2.5742899999999999E-4</v>
      </c>
      <c r="J62" s="133">
        <v>2.1918600000000001E-4</v>
      </c>
      <c r="K62" s="99">
        <v>1.9415799999999999E-4</v>
      </c>
      <c r="L62" s="116">
        <v>2.0099699999999999E-4</v>
      </c>
      <c r="M62" s="2">
        <v>12</v>
      </c>
      <c r="N62" s="2">
        <v>10</v>
      </c>
      <c r="O62" s="2">
        <v>35</v>
      </c>
      <c r="P62" s="126">
        <v>6</v>
      </c>
      <c r="Q62" s="106">
        <v>2</v>
      </c>
      <c r="R62" s="127">
        <v>25</v>
      </c>
      <c r="S62" s="2">
        <v>5</v>
      </c>
      <c r="T62" s="2">
        <v>0</v>
      </c>
      <c r="U62" s="127">
        <v>23</v>
      </c>
      <c r="V62" s="2">
        <v>2</v>
      </c>
      <c r="W62" s="2">
        <v>3</v>
      </c>
      <c r="X62" s="109">
        <v>15</v>
      </c>
    </row>
    <row r="63" spans="2:24" x14ac:dyDescent="0.25">
      <c r="B63">
        <v>20110129</v>
      </c>
      <c r="C63" s="103">
        <v>10618.2</v>
      </c>
      <c r="D63" s="108">
        <v>6034</v>
      </c>
      <c r="E63" s="99">
        <v>7.5011699999999999E-5</v>
      </c>
      <c r="F63" s="99">
        <v>8.40268E-5</v>
      </c>
      <c r="G63" s="132">
        <v>5.50609E-5</v>
      </c>
      <c r="H63" s="133">
        <v>5.4588400000000001E-5</v>
      </c>
      <c r="I63" s="99">
        <v>2.96164E-5</v>
      </c>
      <c r="J63" s="133">
        <v>2.42777E-5</v>
      </c>
      <c r="K63" s="99">
        <v>5.7828400000000002E-6</v>
      </c>
      <c r="L63" s="116">
        <v>8.57713E-6</v>
      </c>
      <c r="M63" s="2">
        <v>5</v>
      </c>
      <c r="N63" s="2">
        <v>21</v>
      </c>
      <c r="O63" s="2">
        <v>48</v>
      </c>
      <c r="P63" s="126">
        <v>2</v>
      </c>
      <c r="Q63" s="106">
        <v>1</v>
      </c>
      <c r="R63" s="127">
        <v>25</v>
      </c>
      <c r="S63" s="2">
        <v>1</v>
      </c>
      <c r="T63" s="2">
        <v>1</v>
      </c>
      <c r="U63" s="127">
        <v>5</v>
      </c>
      <c r="V63" s="2">
        <v>0</v>
      </c>
      <c r="W63" s="2">
        <v>0</v>
      </c>
      <c r="X63" s="109">
        <v>2</v>
      </c>
    </row>
    <row r="64" spans="2:24" x14ac:dyDescent="0.25">
      <c r="B64">
        <v>20110216</v>
      </c>
      <c r="C64" s="103">
        <v>2284.6999999999998</v>
      </c>
      <c r="D64" s="108">
        <v>2268</v>
      </c>
      <c r="E64" s="99">
        <v>4.49402E-4</v>
      </c>
      <c r="F64" s="99">
        <v>4.5869999999999998E-4</v>
      </c>
      <c r="G64" s="132">
        <v>4.49402E-4</v>
      </c>
      <c r="H64" s="133">
        <v>4.49612E-4</v>
      </c>
      <c r="I64" s="99">
        <v>4.4287500000000002E-4</v>
      </c>
      <c r="J64" s="133">
        <v>4.4187600000000001E-4</v>
      </c>
      <c r="K64" s="99">
        <v>4.3058799999999998E-4</v>
      </c>
      <c r="L64" s="116">
        <v>4.3124E-4</v>
      </c>
      <c r="M64" s="2">
        <v>0</v>
      </c>
      <c r="N64" s="2">
        <v>9</v>
      </c>
      <c r="O64" s="2">
        <v>38</v>
      </c>
      <c r="P64" s="126">
        <v>0</v>
      </c>
      <c r="Q64" s="106">
        <v>0</v>
      </c>
      <c r="R64" s="127">
        <v>38</v>
      </c>
      <c r="S64" s="2">
        <v>1</v>
      </c>
      <c r="T64" s="2">
        <v>0</v>
      </c>
      <c r="U64" s="127">
        <v>35</v>
      </c>
      <c r="V64" s="2">
        <v>0</v>
      </c>
      <c r="W64" s="2">
        <v>0</v>
      </c>
      <c r="X64" s="109">
        <v>30</v>
      </c>
    </row>
    <row r="65" spans="2:24" x14ac:dyDescent="0.25">
      <c r="B65">
        <v>20120513</v>
      </c>
      <c r="C65" s="103">
        <v>32718.5</v>
      </c>
      <c r="D65" s="108">
        <v>7304</v>
      </c>
      <c r="E65" s="99">
        <v>7.8527299999999996E-5</v>
      </c>
      <c r="F65" s="99">
        <v>6.7074099999999995E-5</v>
      </c>
      <c r="G65" s="132">
        <v>9.0752799999999996E-6</v>
      </c>
      <c r="H65" s="133">
        <v>1.95758E-5</v>
      </c>
      <c r="I65" s="101">
        <v>7.1047199999999998E-7</v>
      </c>
      <c r="J65" s="133">
        <v>4.02325E-6</v>
      </c>
      <c r="K65" s="100">
        <v>4.9999999999999998E-7</v>
      </c>
      <c r="L65" s="118">
        <v>4.9999999999999998E-7</v>
      </c>
      <c r="M65" s="2">
        <v>55</v>
      </c>
      <c r="N65" s="2">
        <v>25</v>
      </c>
      <c r="O65" s="2">
        <v>78</v>
      </c>
      <c r="P65" s="126">
        <v>0</v>
      </c>
      <c r="Q65" s="106">
        <v>1</v>
      </c>
      <c r="R65" s="127">
        <v>11</v>
      </c>
      <c r="S65" s="2">
        <v>0</v>
      </c>
      <c r="T65" s="2">
        <v>1</v>
      </c>
      <c r="U65" s="127">
        <v>1</v>
      </c>
      <c r="V65" s="2">
        <v>0</v>
      </c>
      <c r="W65" s="2">
        <v>0</v>
      </c>
      <c r="X65" s="109">
        <v>0</v>
      </c>
    </row>
    <row r="66" spans="2:24" x14ac:dyDescent="0.25">
      <c r="B66">
        <v>20120642</v>
      </c>
      <c r="C66" s="103">
        <v>32934.699999999997</v>
      </c>
      <c r="D66" s="108">
        <v>7460.6</v>
      </c>
      <c r="E66" s="99">
        <v>1.4915200000000001E-5</v>
      </c>
      <c r="F66" s="99">
        <v>8.4067300000000007E-6</v>
      </c>
      <c r="G66" s="134">
        <v>4.9999999999999998E-7</v>
      </c>
      <c r="H66" s="135">
        <v>4.9999999999999998E-7</v>
      </c>
      <c r="I66" s="100">
        <v>4.9999999999999998E-7</v>
      </c>
      <c r="J66" s="135">
        <v>4.9999999999999998E-7</v>
      </c>
      <c r="K66" s="100">
        <v>4.9999999999999998E-7</v>
      </c>
      <c r="L66" s="118">
        <v>4.9999999999999998E-7</v>
      </c>
      <c r="M66" s="2">
        <v>29</v>
      </c>
      <c r="N66" s="2">
        <v>8</v>
      </c>
      <c r="O66" s="2">
        <v>9</v>
      </c>
      <c r="P66" s="126">
        <v>0</v>
      </c>
      <c r="Q66" s="106">
        <v>0</v>
      </c>
      <c r="R66" s="127">
        <v>0</v>
      </c>
      <c r="S66" s="2">
        <v>0</v>
      </c>
      <c r="T66" s="2">
        <v>0</v>
      </c>
      <c r="U66" s="127">
        <v>0</v>
      </c>
      <c r="V66" s="2">
        <v>0</v>
      </c>
      <c r="W66" s="2">
        <v>0</v>
      </c>
      <c r="X66" s="109">
        <v>0</v>
      </c>
    </row>
    <row r="67" spans="2:24" x14ac:dyDescent="0.25">
      <c r="B67">
        <v>20120647</v>
      </c>
      <c r="C67" s="103">
        <v>7696.9</v>
      </c>
      <c r="D67" s="108">
        <v>4803.8999999999996</v>
      </c>
      <c r="E67" s="99">
        <v>1.0724400000000001E-4</v>
      </c>
      <c r="F67" s="99">
        <v>1.14308E-4</v>
      </c>
      <c r="G67" s="132">
        <v>8.7128300000000004E-5</v>
      </c>
      <c r="H67" s="133">
        <v>9.1208700000000006E-5</v>
      </c>
      <c r="I67" s="99">
        <v>8.2911500000000001E-5</v>
      </c>
      <c r="J67" s="133">
        <v>8.6552399999999995E-5</v>
      </c>
      <c r="K67" s="99">
        <v>4.4390400000000001E-5</v>
      </c>
      <c r="L67" s="116">
        <v>6.5462099999999998E-5</v>
      </c>
      <c r="M67" s="2">
        <v>7</v>
      </c>
      <c r="N67" s="2">
        <v>19</v>
      </c>
      <c r="O67" s="2">
        <v>32</v>
      </c>
      <c r="P67" s="126">
        <v>2</v>
      </c>
      <c r="Q67" s="106">
        <v>5</v>
      </c>
      <c r="R67" s="127">
        <v>17</v>
      </c>
      <c r="S67" s="2">
        <v>1</v>
      </c>
      <c r="T67" s="2">
        <v>4</v>
      </c>
      <c r="U67" s="127">
        <v>14</v>
      </c>
      <c r="V67" s="2">
        <v>0</v>
      </c>
      <c r="W67" s="2">
        <v>3</v>
      </c>
      <c r="X67" s="109">
        <v>4</v>
      </c>
    </row>
    <row r="68" spans="2:24" x14ac:dyDescent="0.25">
      <c r="B68">
        <v>20120850</v>
      </c>
      <c r="C68" s="103">
        <v>24367.7</v>
      </c>
      <c r="D68" s="108">
        <v>7159.8</v>
      </c>
      <c r="E68" s="99">
        <v>7.6244199999999998E-5</v>
      </c>
      <c r="F68" s="99">
        <v>7.4305800000000003E-5</v>
      </c>
      <c r="G68" s="132">
        <v>9.41354E-6</v>
      </c>
      <c r="H68" s="133">
        <v>1.2374100000000001E-5</v>
      </c>
      <c r="I68" s="99">
        <v>8.8015700000000002E-6</v>
      </c>
      <c r="J68" s="133">
        <v>2.6340900000000001E-6</v>
      </c>
      <c r="K68" s="99">
        <v>1.36793E-6</v>
      </c>
      <c r="L68" s="118">
        <v>4.9999999999999998E-7</v>
      </c>
      <c r="M68" s="2">
        <v>29</v>
      </c>
      <c r="N68" s="2">
        <v>26</v>
      </c>
      <c r="O68" s="2">
        <v>78</v>
      </c>
      <c r="P68" s="126">
        <v>2</v>
      </c>
      <c r="Q68" s="106">
        <v>4</v>
      </c>
      <c r="R68" s="127">
        <v>3</v>
      </c>
      <c r="S68" s="2">
        <v>2</v>
      </c>
      <c r="T68" s="2">
        <v>0</v>
      </c>
      <c r="U68" s="127">
        <v>1</v>
      </c>
      <c r="V68" s="2">
        <v>1</v>
      </c>
      <c r="W68" s="2">
        <v>0</v>
      </c>
      <c r="X68" s="109">
        <v>0</v>
      </c>
    </row>
    <row r="69" spans="2:24" x14ac:dyDescent="0.25">
      <c r="B69">
        <v>20120884</v>
      </c>
      <c r="C69" s="103">
        <v>3669.4</v>
      </c>
      <c r="D69" s="108">
        <v>3624.1</v>
      </c>
      <c r="E69" s="99">
        <v>3.1674899999999997E-5</v>
      </c>
      <c r="F69" s="99">
        <v>4.0178900000000003E-5</v>
      </c>
      <c r="G69" s="132">
        <v>2.22322E-5</v>
      </c>
      <c r="H69" s="133">
        <v>2.3599099999999999E-5</v>
      </c>
      <c r="I69" s="99">
        <v>1.98417E-5</v>
      </c>
      <c r="J69" s="133">
        <v>2.0089500000000001E-5</v>
      </c>
      <c r="K69" s="99">
        <v>1.8287800000000001E-5</v>
      </c>
      <c r="L69" s="116">
        <v>1.8516200000000001E-5</v>
      </c>
      <c r="M69" s="2">
        <v>0</v>
      </c>
      <c r="N69" s="2">
        <v>13</v>
      </c>
      <c r="O69" s="2">
        <v>10</v>
      </c>
      <c r="P69" s="126">
        <v>0</v>
      </c>
      <c r="Q69" s="106">
        <v>2</v>
      </c>
      <c r="R69" s="127">
        <v>5</v>
      </c>
      <c r="S69" s="2">
        <v>0</v>
      </c>
      <c r="T69" s="2">
        <v>0</v>
      </c>
      <c r="U69" s="127">
        <v>4</v>
      </c>
      <c r="V69" s="2">
        <v>0</v>
      </c>
      <c r="W69" s="2">
        <v>0</v>
      </c>
      <c r="X69" s="109">
        <v>3</v>
      </c>
    </row>
    <row r="70" spans="2:24" x14ac:dyDescent="0.25">
      <c r="B70">
        <v>20120907</v>
      </c>
      <c r="C70" s="103">
        <v>10367.5</v>
      </c>
      <c r="D70" s="108">
        <v>6724.5</v>
      </c>
      <c r="E70" s="99">
        <v>3.9385899999999998E-5</v>
      </c>
      <c r="F70" s="99">
        <v>3.9199500000000003E-5</v>
      </c>
      <c r="G70" s="132">
        <v>2.8428900000000002E-5</v>
      </c>
      <c r="H70" s="133">
        <v>2.1393400000000001E-5</v>
      </c>
      <c r="I70" s="99">
        <v>9.4340100000000005E-6</v>
      </c>
      <c r="J70" s="133">
        <v>1.5588500000000002E-5</v>
      </c>
      <c r="K70" s="99">
        <v>5.7534800000000004E-6</v>
      </c>
      <c r="L70" s="116">
        <v>8.7399900000000003E-6</v>
      </c>
      <c r="M70" s="2">
        <v>1</v>
      </c>
      <c r="N70" s="2">
        <v>13</v>
      </c>
      <c r="O70" s="2">
        <v>21</v>
      </c>
      <c r="P70" s="126">
        <v>2</v>
      </c>
      <c r="Q70" s="106">
        <v>0</v>
      </c>
      <c r="R70" s="127">
        <v>6</v>
      </c>
      <c r="S70" s="2">
        <v>0</v>
      </c>
      <c r="T70" s="2">
        <v>1</v>
      </c>
      <c r="U70" s="127">
        <v>2</v>
      </c>
      <c r="V70" s="2">
        <v>0</v>
      </c>
      <c r="W70" s="2">
        <v>0</v>
      </c>
      <c r="X70" s="109">
        <v>1</v>
      </c>
    </row>
    <row r="71" spans="2:24" x14ac:dyDescent="0.25">
      <c r="B71">
        <v>20120924</v>
      </c>
      <c r="C71" s="103">
        <v>3740.1</v>
      </c>
      <c r="D71" s="108">
        <v>3596.3</v>
      </c>
      <c r="E71" s="99">
        <v>3.4946000000000001E-5</v>
      </c>
      <c r="F71" s="99">
        <v>5.5490199999999999E-5</v>
      </c>
      <c r="G71" s="132">
        <v>1.64176E-5</v>
      </c>
      <c r="H71" s="133">
        <v>1.9513000000000001E-5</v>
      </c>
      <c r="I71" s="99">
        <v>1.32513E-5</v>
      </c>
      <c r="J71" s="133">
        <v>1.32933E-5</v>
      </c>
      <c r="K71" s="99">
        <v>1.6417600000000001E-6</v>
      </c>
      <c r="L71" s="116">
        <v>1.9512999999999999E-6</v>
      </c>
      <c r="M71" s="2">
        <v>0</v>
      </c>
      <c r="N71" s="2">
        <v>27</v>
      </c>
      <c r="O71" s="2">
        <v>26</v>
      </c>
      <c r="P71" s="126">
        <v>0</v>
      </c>
      <c r="Q71" s="106">
        <v>6</v>
      </c>
      <c r="R71" s="127">
        <v>14</v>
      </c>
      <c r="S71" s="2">
        <v>1</v>
      </c>
      <c r="T71" s="2">
        <v>3</v>
      </c>
      <c r="U71" s="127">
        <v>10</v>
      </c>
      <c r="V71" s="2">
        <v>0</v>
      </c>
      <c r="W71" s="2">
        <v>1</v>
      </c>
      <c r="X71" s="109">
        <v>1</v>
      </c>
    </row>
    <row r="72" spans="2:24" x14ac:dyDescent="0.25">
      <c r="B72">
        <v>20120992</v>
      </c>
      <c r="C72" s="103">
        <v>7397.2</v>
      </c>
      <c r="D72" s="108">
        <v>5391.6</v>
      </c>
      <c r="E72" s="99">
        <v>1.25107E-5</v>
      </c>
      <c r="F72" s="99">
        <v>3.0017200000000001E-5</v>
      </c>
      <c r="G72" s="132">
        <v>1.48231E-6</v>
      </c>
      <c r="H72" s="133">
        <v>4.0673699999999998E-6</v>
      </c>
      <c r="I72" s="100">
        <v>4.9999999999999998E-7</v>
      </c>
      <c r="J72" s="135">
        <v>4.9999999999999998E-7</v>
      </c>
      <c r="K72" s="100">
        <v>4.9999999999999998E-7</v>
      </c>
      <c r="L72" s="118">
        <v>4.9999999999999998E-7</v>
      </c>
      <c r="M72" s="2">
        <v>2</v>
      </c>
      <c r="N72" s="2">
        <v>37</v>
      </c>
      <c r="O72" s="2">
        <v>11</v>
      </c>
      <c r="P72" s="126">
        <v>0</v>
      </c>
      <c r="Q72" s="106">
        <v>1</v>
      </c>
      <c r="R72" s="127">
        <v>2</v>
      </c>
      <c r="S72" s="2">
        <v>0</v>
      </c>
      <c r="T72" s="2">
        <v>0</v>
      </c>
      <c r="U72" s="127">
        <v>0</v>
      </c>
      <c r="V72" s="2">
        <v>0</v>
      </c>
      <c r="W72" s="2">
        <v>0</v>
      </c>
      <c r="X72" s="109">
        <v>0</v>
      </c>
    </row>
    <row r="73" spans="2:24" x14ac:dyDescent="0.25">
      <c r="B73">
        <v>20121009</v>
      </c>
      <c r="C73" s="103">
        <v>59191.8</v>
      </c>
      <c r="D73" s="108">
        <v>7632.8</v>
      </c>
      <c r="E73" s="99">
        <v>6.7124899999999998E-5</v>
      </c>
      <c r="F73" s="99">
        <v>6.7115799999999999E-5</v>
      </c>
      <c r="G73" s="132">
        <v>1.71684E-5</v>
      </c>
      <c r="H73" s="133">
        <v>2.7869200000000001E-5</v>
      </c>
      <c r="I73" s="99">
        <v>2.2896099999999999E-6</v>
      </c>
      <c r="J73" s="133">
        <v>1.4135699999999999E-5</v>
      </c>
      <c r="K73" s="100">
        <v>4.9999999999999998E-7</v>
      </c>
      <c r="L73" s="116">
        <v>7.0678499999999996E-6</v>
      </c>
      <c r="M73" s="2">
        <v>48</v>
      </c>
      <c r="N73" s="2">
        <v>11</v>
      </c>
      <c r="O73" s="2">
        <v>69</v>
      </c>
      <c r="P73" s="126">
        <v>1</v>
      </c>
      <c r="Q73" s="106">
        <v>3</v>
      </c>
      <c r="R73" s="127">
        <v>9</v>
      </c>
      <c r="S73" s="2">
        <v>0</v>
      </c>
      <c r="T73" s="2">
        <v>3</v>
      </c>
      <c r="U73" s="127">
        <v>1</v>
      </c>
      <c r="V73" s="2">
        <v>0</v>
      </c>
      <c r="W73" s="2">
        <v>1</v>
      </c>
      <c r="X73" s="109">
        <v>0</v>
      </c>
    </row>
    <row r="74" spans="2:24" x14ac:dyDescent="0.25">
      <c r="B74">
        <v>20121026</v>
      </c>
      <c r="C74" s="103">
        <v>8513.4</v>
      </c>
      <c r="D74" s="108">
        <v>4236.6000000000004</v>
      </c>
      <c r="E74" s="99">
        <v>8.9539399999999999E-5</v>
      </c>
      <c r="F74" s="99">
        <v>1.11186E-4</v>
      </c>
      <c r="G74" s="132">
        <v>7.0580600000000007E-5</v>
      </c>
      <c r="H74" s="133">
        <v>9.51398E-5</v>
      </c>
      <c r="I74" s="99">
        <v>4.3121100000000003E-5</v>
      </c>
      <c r="J74" s="133">
        <v>6.0044699999999998E-5</v>
      </c>
      <c r="K74" s="99">
        <v>4.1060399999999997E-5</v>
      </c>
      <c r="L74" s="116">
        <v>5.6110799999999998E-5</v>
      </c>
      <c r="M74" s="2">
        <v>0</v>
      </c>
      <c r="N74" s="2">
        <v>7</v>
      </c>
      <c r="O74" s="2">
        <v>29</v>
      </c>
      <c r="P74" s="126">
        <v>0</v>
      </c>
      <c r="Q74" s="106">
        <v>6</v>
      </c>
      <c r="R74" s="127">
        <v>16</v>
      </c>
      <c r="S74" s="2">
        <v>0</v>
      </c>
      <c r="T74" s="2">
        <v>1</v>
      </c>
      <c r="U74" s="127">
        <v>7</v>
      </c>
      <c r="V74" s="2">
        <v>0</v>
      </c>
      <c r="W74" s="2">
        <v>0</v>
      </c>
      <c r="X74" s="109">
        <v>4</v>
      </c>
    </row>
    <row r="75" spans="2:24" x14ac:dyDescent="0.25">
      <c r="B75">
        <v>20121040</v>
      </c>
      <c r="C75" s="103">
        <v>4849.5</v>
      </c>
      <c r="D75" s="108">
        <v>4356.8</v>
      </c>
      <c r="E75" s="99">
        <v>3.2649399999999999E-5</v>
      </c>
      <c r="F75" s="99">
        <v>4.6508799999999998E-5</v>
      </c>
      <c r="G75" s="132">
        <v>2.43288E-5</v>
      </c>
      <c r="H75" s="133">
        <v>2.3959099999999999E-5</v>
      </c>
      <c r="I75" s="99">
        <v>1.71839E-5</v>
      </c>
      <c r="J75" s="133">
        <v>1.87243E-5</v>
      </c>
      <c r="K75" s="99">
        <v>3.8889899999999997E-6</v>
      </c>
      <c r="L75" s="116">
        <v>4.32874E-6</v>
      </c>
      <c r="M75" s="2">
        <v>0</v>
      </c>
      <c r="N75" s="2">
        <v>22</v>
      </c>
      <c r="O75" s="2">
        <v>20</v>
      </c>
      <c r="P75" s="126">
        <v>1</v>
      </c>
      <c r="Q75" s="106">
        <v>4</v>
      </c>
      <c r="R75" s="127">
        <v>13</v>
      </c>
      <c r="S75" s="2">
        <v>0</v>
      </c>
      <c r="T75" s="2">
        <v>0</v>
      </c>
      <c r="U75" s="127">
        <v>11</v>
      </c>
      <c r="V75" s="2">
        <v>0</v>
      </c>
      <c r="W75" s="2">
        <v>0</v>
      </c>
      <c r="X75" s="109">
        <v>3</v>
      </c>
    </row>
    <row r="76" spans="2:24" x14ac:dyDescent="0.25">
      <c r="B76">
        <v>20121047</v>
      </c>
      <c r="C76" s="103">
        <v>14997.4</v>
      </c>
      <c r="D76" s="108">
        <v>4778.3999999999996</v>
      </c>
      <c r="E76" s="99">
        <v>7.72063E-5</v>
      </c>
      <c r="F76" s="99">
        <v>9.5183899999999995E-5</v>
      </c>
      <c r="G76" s="132">
        <v>6.1238699999999994E-5</v>
      </c>
      <c r="H76" s="133">
        <v>7.0584800000000002E-5</v>
      </c>
      <c r="I76" s="99">
        <v>5.7495299999999998E-5</v>
      </c>
      <c r="J76" s="133">
        <v>5.8377E-5</v>
      </c>
      <c r="K76" s="99">
        <v>4.7522799999999998E-5</v>
      </c>
      <c r="L76" s="116">
        <v>4.2956700000000002E-5</v>
      </c>
      <c r="M76" s="2">
        <v>3</v>
      </c>
      <c r="N76" s="2">
        <v>17</v>
      </c>
      <c r="O76" s="2">
        <v>25</v>
      </c>
      <c r="P76" s="126">
        <v>0</v>
      </c>
      <c r="Q76" s="106">
        <v>1</v>
      </c>
      <c r="R76" s="127">
        <v>10</v>
      </c>
      <c r="S76" s="2">
        <v>1</v>
      </c>
      <c r="T76" s="2">
        <v>1</v>
      </c>
      <c r="U76" s="127">
        <v>5</v>
      </c>
      <c r="V76" s="2">
        <v>0</v>
      </c>
      <c r="W76" s="2">
        <v>0</v>
      </c>
      <c r="X76" s="109">
        <v>2</v>
      </c>
    </row>
    <row r="77" spans="2:24" x14ac:dyDescent="0.25">
      <c r="B77">
        <v>20121105</v>
      </c>
      <c r="C77" s="103">
        <v>11950.9</v>
      </c>
      <c r="D77" s="108">
        <v>6092.6</v>
      </c>
      <c r="E77" s="99">
        <v>8.1656999999999994E-5</v>
      </c>
      <c r="F77" s="99">
        <v>1.05175E-4</v>
      </c>
      <c r="G77" s="132">
        <v>4.4737000000000002E-5</v>
      </c>
      <c r="H77" s="133">
        <v>6.7093099999999996E-5</v>
      </c>
      <c r="I77" s="99">
        <v>1.8166399999999999E-5</v>
      </c>
      <c r="J77" s="133">
        <v>3.15309E-5</v>
      </c>
      <c r="K77" s="99">
        <v>8.6611499999999992E-6</v>
      </c>
      <c r="L77" s="116">
        <v>1.30299E-5</v>
      </c>
      <c r="M77" s="2">
        <v>4</v>
      </c>
      <c r="N77" s="2">
        <v>23</v>
      </c>
      <c r="O77" s="2">
        <v>60</v>
      </c>
      <c r="P77" s="126">
        <v>3</v>
      </c>
      <c r="Q77" s="106">
        <v>6</v>
      </c>
      <c r="R77" s="127">
        <v>31</v>
      </c>
      <c r="S77" s="2">
        <v>1</v>
      </c>
      <c r="T77" s="2">
        <v>1</v>
      </c>
      <c r="U77" s="127">
        <v>14</v>
      </c>
      <c r="V77" s="2">
        <v>0</v>
      </c>
      <c r="W77" s="2">
        <v>0</v>
      </c>
      <c r="X77" s="109">
        <v>4</v>
      </c>
    </row>
    <row r="78" spans="2:24" x14ac:dyDescent="0.25">
      <c r="B78">
        <v>20121116</v>
      </c>
      <c r="C78" s="103">
        <v>16965.2</v>
      </c>
      <c r="D78" s="108">
        <v>7043.9</v>
      </c>
      <c r="E78" s="99">
        <v>9.35607E-5</v>
      </c>
      <c r="F78" s="99">
        <v>1.2023600000000001E-4</v>
      </c>
      <c r="G78" s="132">
        <v>3.2186500000000001E-5</v>
      </c>
      <c r="H78" s="133">
        <v>4.5205099999999999E-5</v>
      </c>
      <c r="I78" s="99">
        <v>2.9058399999999999E-5</v>
      </c>
      <c r="J78" s="133">
        <v>3.3748200000000003E-5</v>
      </c>
      <c r="K78" s="99">
        <v>2.4663399999999998E-5</v>
      </c>
      <c r="L78" s="116">
        <v>2.3411999999999999E-5</v>
      </c>
      <c r="M78" s="2">
        <v>19</v>
      </c>
      <c r="N78" s="2">
        <v>48</v>
      </c>
      <c r="O78" s="2">
        <v>98</v>
      </c>
      <c r="P78" s="126">
        <v>0</v>
      </c>
      <c r="Q78" s="106">
        <v>3</v>
      </c>
      <c r="R78" s="127">
        <v>15</v>
      </c>
      <c r="S78" s="2">
        <v>0</v>
      </c>
      <c r="T78" s="2">
        <v>0</v>
      </c>
      <c r="U78" s="127">
        <v>9</v>
      </c>
      <c r="V78" s="2">
        <v>0</v>
      </c>
      <c r="W78" s="2">
        <v>0</v>
      </c>
      <c r="X78" s="109">
        <v>2</v>
      </c>
    </row>
    <row r="79" spans="2:24" x14ac:dyDescent="0.25">
      <c r="B79">
        <v>20121156</v>
      </c>
      <c r="C79" s="103">
        <v>3652.2</v>
      </c>
      <c r="D79" s="108">
        <v>3271.7</v>
      </c>
      <c r="E79" s="99">
        <v>3.13918E-4</v>
      </c>
      <c r="F79" s="99">
        <v>3.19327E-4</v>
      </c>
      <c r="G79" s="132">
        <v>2.31535E-4</v>
      </c>
      <c r="H79" s="133">
        <v>2.36479E-4</v>
      </c>
      <c r="I79" s="99">
        <v>1.16008E-4</v>
      </c>
      <c r="J79" s="133">
        <v>1.15022E-4</v>
      </c>
      <c r="K79" s="99">
        <v>4.8396599999999997E-5</v>
      </c>
      <c r="L79" s="116">
        <v>5.6706699999999997E-5</v>
      </c>
      <c r="M79" s="2">
        <v>4</v>
      </c>
      <c r="N79" s="2">
        <v>34</v>
      </c>
      <c r="O79" s="2">
        <v>150</v>
      </c>
      <c r="P79" s="126">
        <v>6</v>
      </c>
      <c r="Q79" s="106">
        <v>23</v>
      </c>
      <c r="R79" s="127">
        <v>109</v>
      </c>
      <c r="S79" s="2">
        <v>5</v>
      </c>
      <c r="T79" s="2">
        <v>20</v>
      </c>
      <c r="U79" s="127">
        <v>74</v>
      </c>
      <c r="V79" s="2">
        <v>1</v>
      </c>
      <c r="W79" s="2">
        <v>20</v>
      </c>
      <c r="X79" s="109">
        <v>58</v>
      </c>
    </row>
    <row r="80" spans="2:24" x14ac:dyDescent="0.25">
      <c r="B80">
        <v>20121201</v>
      </c>
      <c r="C80" s="103">
        <v>1166.5999999999999</v>
      </c>
      <c r="D80" s="108">
        <v>1162.5</v>
      </c>
      <c r="E80" s="99">
        <v>2.22952E-4</v>
      </c>
      <c r="F80" s="99">
        <v>2.8259599999999998E-4</v>
      </c>
      <c r="G80" s="132">
        <v>2.2069599999999999E-4</v>
      </c>
      <c r="H80" s="133">
        <v>2.5165799999999998E-4</v>
      </c>
      <c r="I80" s="99">
        <v>1.7257199999999999E-4</v>
      </c>
      <c r="J80" s="133">
        <v>1.90158E-4</v>
      </c>
      <c r="K80" s="99">
        <v>9.4369200000000004E-5</v>
      </c>
      <c r="L80" s="116">
        <v>9.9983999999999997E-5</v>
      </c>
      <c r="M80" s="2">
        <v>0</v>
      </c>
      <c r="N80" s="2">
        <v>49</v>
      </c>
      <c r="O80" s="2">
        <v>68</v>
      </c>
      <c r="P80" s="126">
        <v>3</v>
      </c>
      <c r="Q80" s="106">
        <v>34</v>
      </c>
      <c r="R80" s="127">
        <v>64</v>
      </c>
      <c r="S80" s="2">
        <v>0</v>
      </c>
      <c r="T80" s="2">
        <v>18</v>
      </c>
      <c r="U80" s="127">
        <v>51</v>
      </c>
      <c r="V80" s="2">
        <v>0</v>
      </c>
      <c r="W80" s="2">
        <v>5</v>
      </c>
      <c r="X80" s="109">
        <v>24</v>
      </c>
    </row>
    <row r="81" spans="1:24" x14ac:dyDescent="0.25">
      <c r="B81">
        <v>20121208</v>
      </c>
      <c r="C81" s="103">
        <v>9262.2999999999993</v>
      </c>
      <c r="D81" s="108">
        <v>6535.5</v>
      </c>
      <c r="E81" s="99">
        <v>1.0697E-4</v>
      </c>
      <c r="F81" s="99">
        <v>1.48849E-4</v>
      </c>
      <c r="G81" s="132">
        <v>6.8709199999999996E-5</v>
      </c>
      <c r="H81" s="133">
        <v>9.3349200000000004E-5</v>
      </c>
      <c r="I81" s="99">
        <v>6.5583899999999994E-5</v>
      </c>
      <c r="J81" s="133">
        <v>8.8248899999999995E-5</v>
      </c>
      <c r="K81" s="99">
        <v>6.3784500000000006E-5</v>
      </c>
      <c r="L81" s="116">
        <v>8.56987E-5</v>
      </c>
      <c r="M81" s="2">
        <v>5</v>
      </c>
      <c r="N81" s="2">
        <v>56</v>
      </c>
      <c r="O81" s="2">
        <v>51</v>
      </c>
      <c r="P81" s="126">
        <v>1</v>
      </c>
      <c r="Q81" s="106">
        <v>1</v>
      </c>
      <c r="R81" s="127">
        <v>8</v>
      </c>
      <c r="S81" s="2">
        <v>0</v>
      </c>
      <c r="T81" s="2">
        <v>0</v>
      </c>
      <c r="U81" s="127">
        <v>4</v>
      </c>
      <c r="V81" s="2">
        <v>0</v>
      </c>
      <c r="W81" s="2">
        <v>0</v>
      </c>
      <c r="X81" s="109">
        <v>1</v>
      </c>
    </row>
    <row r="82" spans="1:24" x14ac:dyDescent="0.25">
      <c r="B82">
        <v>20121380</v>
      </c>
      <c r="C82" s="103">
        <v>7130.4</v>
      </c>
      <c r="D82" s="108">
        <v>4621.8</v>
      </c>
      <c r="E82" s="99">
        <v>2.9149900000000002E-4</v>
      </c>
      <c r="F82" s="99">
        <v>2.4768099999999998E-4</v>
      </c>
      <c r="G82" s="132">
        <v>2.02862E-4</v>
      </c>
      <c r="H82" s="133">
        <v>1.5088600000000001E-4</v>
      </c>
      <c r="I82" s="99">
        <v>1.59989E-4</v>
      </c>
      <c r="J82" s="133">
        <v>9.6510199999999996E-5</v>
      </c>
      <c r="K82" s="99">
        <v>1.16932E-4</v>
      </c>
      <c r="L82" s="116">
        <v>4.0141400000000002E-5</v>
      </c>
      <c r="M82" s="2">
        <v>8</v>
      </c>
      <c r="N82" s="2">
        <v>48</v>
      </c>
      <c r="O82" s="2">
        <v>142</v>
      </c>
      <c r="P82" s="126">
        <v>5</v>
      </c>
      <c r="Q82" s="106">
        <v>6</v>
      </c>
      <c r="R82" s="127">
        <v>72</v>
      </c>
      <c r="S82" s="2">
        <v>4</v>
      </c>
      <c r="T82" s="2">
        <v>3</v>
      </c>
      <c r="U82" s="127">
        <v>33</v>
      </c>
      <c r="V82" s="2">
        <v>1</v>
      </c>
      <c r="W82" s="2">
        <v>0</v>
      </c>
      <c r="X82" s="109">
        <v>4</v>
      </c>
    </row>
    <row r="83" spans="1:24" x14ac:dyDescent="0.25">
      <c r="C83" s="105"/>
      <c r="D83" s="109"/>
      <c r="E83" s="2"/>
      <c r="F83" s="2"/>
      <c r="G83" s="126"/>
      <c r="H83" s="127"/>
      <c r="I83" s="2"/>
      <c r="J83" s="127"/>
      <c r="K83" s="2"/>
      <c r="L83" s="109"/>
      <c r="M83" s="2"/>
      <c r="N83" s="2"/>
      <c r="O83" s="2"/>
      <c r="P83" s="126"/>
      <c r="Q83" s="106"/>
      <c r="R83" s="127"/>
      <c r="S83" s="2"/>
      <c r="T83" s="2"/>
      <c r="U83" s="127"/>
      <c r="V83" s="2"/>
      <c r="W83" s="2"/>
      <c r="X83" s="109"/>
    </row>
    <row r="84" spans="1:24" x14ac:dyDescent="0.25">
      <c r="A84" t="s">
        <v>1104</v>
      </c>
      <c r="B84">
        <v>20080358</v>
      </c>
      <c r="C84" s="103">
        <v>22952.6</v>
      </c>
      <c r="D84" s="108">
        <v>5718.8</v>
      </c>
      <c r="E84" s="99">
        <v>8.4058499999999995E-5</v>
      </c>
      <c r="F84" s="99">
        <v>5.7964499999999997E-5</v>
      </c>
      <c r="G84" s="132">
        <v>2.2628799999999999E-5</v>
      </c>
      <c r="H84" s="133">
        <v>2.15551E-5</v>
      </c>
      <c r="I84" s="99">
        <v>2.1240899999999999E-5</v>
      </c>
      <c r="J84" s="133">
        <v>1.5500300000000001E-5</v>
      </c>
      <c r="K84" s="99">
        <v>1.5709399999999999E-5</v>
      </c>
      <c r="L84" s="116">
        <v>8.9610900000000006E-6</v>
      </c>
      <c r="M84" s="2">
        <v>48</v>
      </c>
      <c r="N84" s="2">
        <v>22</v>
      </c>
      <c r="O84" s="2">
        <v>43</v>
      </c>
      <c r="P84" s="126">
        <v>0</v>
      </c>
      <c r="Q84" s="106">
        <v>1</v>
      </c>
      <c r="R84" s="127">
        <v>7</v>
      </c>
      <c r="S84" s="2">
        <v>0</v>
      </c>
      <c r="T84" s="2">
        <v>0</v>
      </c>
      <c r="U84" s="127">
        <v>5</v>
      </c>
      <c r="V84" s="2">
        <v>0</v>
      </c>
      <c r="W84" s="2">
        <v>0</v>
      </c>
      <c r="X84" s="109">
        <v>2</v>
      </c>
    </row>
    <row r="85" spans="1:24" x14ac:dyDescent="0.25">
      <c r="B85">
        <v>20090123</v>
      </c>
      <c r="C85" s="103">
        <v>10421.4</v>
      </c>
      <c r="D85" s="108">
        <v>5319.9</v>
      </c>
      <c r="E85" s="99">
        <v>3.3004499999999999E-5</v>
      </c>
      <c r="F85" s="99">
        <v>3.0547799999999999E-5</v>
      </c>
      <c r="G85" s="132">
        <v>1.6037099999999999E-5</v>
      </c>
      <c r="H85" s="133">
        <v>1.30175E-5</v>
      </c>
      <c r="I85" s="99">
        <v>1.6037099999999999E-5</v>
      </c>
      <c r="J85" s="133">
        <v>1.22365E-5</v>
      </c>
      <c r="K85" s="99">
        <v>1.6037099999999999E-5</v>
      </c>
      <c r="L85" s="116">
        <v>1.19761E-5</v>
      </c>
      <c r="M85" s="2">
        <v>9</v>
      </c>
      <c r="N85" s="2">
        <v>18</v>
      </c>
      <c r="O85" s="2">
        <v>11</v>
      </c>
      <c r="P85" s="126">
        <v>0</v>
      </c>
      <c r="Q85" s="106">
        <v>3</v>
      </c>
      <c r="R85" s="127">
        <v>1</v>
      </c>
      <c r="S85" s="2">
        <v>0</v>
      </c>
      <c r="T85" s="2">
        <v>1</v>
      </c>
      <c r="U85" s="127">
        <v>1</v>
      </c>
      <c r="V85" s="2">
        <v>0</v>
      </c>
      <c r="W85" s="2">
        <v>0</v>
      </c>
      <c r="X85" s="109">
        <v>1</v>
      </c>
    </row>
    <row r="86" spans="1:24" x14ac:dyDescent="0.25">
      <c r="B86">
        <v>20090711</v>
      </c>
      <c r="C86" s="103">
        <v>7384.6</v>
      </c>
      <c r="D86" s="108">
        <v>4077.7</v>
      </c>
      <c r="E86" s="99">
        <v>1.3066600000000001E-4</v>
      </c>
      <c r="F86" s="99">
        <v>1.51941E-4</v>
      </c>
      <c r="G86" s="132">
        <v>1.13848E-4</v>
      </c>
      <c r="H86" s="133">
        <v>1.3359999999999999E-4</v>
      </c>
      <c r="I86" s="99">
        <v>1.10722E-4</v>
      </c>
      <c r="J86" s="133">
        <v>1.3246699999999999E-4</v>
      </c>
      <c r="K86" s="99">
        <v>9.4967099999999994E-5</v>
      </c>
      <c r="L86" s="116">
        <v>1.13786E-4</v>
      </c>
      <c r="M86" s="2">
        <v>1</v>
      </c>
      <c r="N86" s="2">
        <v>12</v>
      </c>
      <c r="O86" s="2">
        <v>29</v>
      </c>
      <c r="P86" s="126">
        <v>0</v>
      </c>
      <c r="Q86" s="106">
        <v>6</v>
      </c>
      <c r="R86" s="127">
        <v>18</v>
      </c>
      <c r="S86" s="2">
        <v>0</v>
      </c>
      <c r="T86" s="2">
        <v>4</v>
      </c>
      <c r="U86" s="127">
        <v>17</v>
      </c>
      <c r="V86" s="2">
        <v>0</v>
      </c>
      <c r="W86" s="2">
        <v>1</v>
      </c>
      <c r="X86" s="109">
        <v>14</v>
      </c>
    </row>
    <row r="87" spans="1:24" x14ac:dyDescent="0.25">
      <c r="B87">
        <v>20090892</v>
      </c>
      <c r="C87" s="103">
        <v>3194.5</v>
      </c>
      <c r="D87" s="108">
        <v>3156.3</v>
      </c>
      <c r="E87" s="99">
        <v>1.5420899999999999E-4</v>
      </c>
      <c r="F87" s="99">
        <v>1.6148399999999999E-4</v>
      </c>
      <c r="G87" s="132">
        <v>1.3860000000000001E-4</v>
      </c>
      <c r="H87" s="133">
        <v>1.4086E-4</v>
      </c>
      <c r="I87" s="99">
        <v>1.1287500000000001E-4</v>
      </c>
      <c r="J87" s="133">
        <v>1.18919E-4</v>
      </c>
      <c r="K87" s="99">
        <v>6.6626399999999996E-5</v>
      </c>
      <c r="L87" s="116">
        <v>6.0556500000000002E-5</v>
      </c>
      <c r="M87" s="2">
        <v>0</v>
      </c>
      <c r="N87" s="2">
        <v>13</v>
      </c>
      <c r="O87" s="2">
        <v>30</v>
      </c>
      <c r="P87" s="126">
        <v>1</v>
      </c>
      <c r="Q87" s="106">
        <v>8</v>
      </c>
      <c r="R87" s="127">
        <v>21</v>
      </c>
      <c r="S87" s="2">
        <v>0</v>
      </c>
      <c r="T87" s="2">
        <v>4</v>
      </c>
      <c r="U87" s="127">
        <v>14</v>
      </c>
      <c r="V87" s="2">
        <v>1</v>
      </c>
      <c r="W87" s="2">
        <v>0</v>
      </c>
      <c r="X87" s="109">
        <v>3</v>
      </c>
    </row>
    <row r="88" spans="1:24" x14ac:dyDescent="0.25">
      <c r="B88">
        <v>20090965</v>
      </c>
      <c r="C88" s="103">
        <v>6372.6</v>
      </c>
      <c r="D88" s="108">
        <v>5525.5</v>
      </c>
      <c r="E88" s="99">
        <v>8.6502900000000001E-5</v>
      </c>
      <c r="F88" s="99">
        <v>8.5893699999999994E-5</v>
      </c>
      <c r="G88" s="132">
        <v>6.4116399999999995E-5</v>
      </c>
      <c r="H88" s="133">
        <v>5.0383200000000002E-5</v>
      </c>
      <c r="I88" s="99">
        <v>6.2160400000000002E-5</v>
      </c>
      <c r="J88" s="133">
        <v>4.7876600000000002E-5</v>
      </c>
      <c r="K88" s="99">
        <v>6.2160400000000002E-5</v>
      </c>
      <c r="L88" s="116">
        <v>4.7876600000000002E-5</v>
      </c>
      <c r="M88" s="2">
        <v>1</v>
      </c>
      <c r="N88" s="2">
        <v>31</v>
      </c>
      <c r="O88" s="2">
        <v>21</v>
      </c>
      <c r="P88" s="126">
        <v>0</v>
      </c>
      <c r="Q88" s="106">
        <v>2</v>
      </c>
      <c r="R88" s="127">
        <v>3</v>
      </c>
      <c r="S88" s="2">
        <v>0</v>
      </c>
      <c r="T88" s="2">
        <v>0</v>
      </c>
      <c r="U88" s="127">
        <v>2</v>
      </c>
      <c r="V88" s="2">
        <v>0</v>
      </c>
      <c r="W88" s="2">
        <v>0</v>
      </c>
      <c r="X88" s="109">
        <v>2</v>
      </c>
    </row>
    <row r="89" spans="1:24" x14ac:dyDescent="0.25">
      <c r="B89">
        <v>20091068</v>
      </c>
      <c r="C89" s="103">
        <v>9117.1</v>
      </c>
      <c r="D89" s="108">
        <v>5382.2</v>
      </c>
      <c r="E89" s="99">
        <v>9.58597E-5</v>
      </c>
      <c r="F89" s="99">
        <v>1.11599E-4</v>
      </c>
      <c r="G89" s="132">
        <v>7.54015E-5</v>
      </c>
      <c r="H89" s="133">
        <v>8.9639699999999995E-5</v>
      </c>
      <c r="I89" s="99">
        <v>6.7603100000000003E-5</v>
      </c>
      <c r="J89" s="133">
        <v>8.3120499999999998E-5</v>
      </c>
      <c r="K89" s="99">
        <v>2.8155300000000001E-5</v>
      </c>
      <c r="L89" s="116">
        <v>4.8808599999999999E-5</v>
      </c>
      <c r="M89" s="2">
        <v>5</v>
      </c>
      <c r="N89" s="2">
        <v>16</v>
      </c>
      <c r="O89" s="2">
        <v>32</v>
      </c>
      <c r="P89" s="126">
        <v>0</v>
      </c>
      <c r="Q89" s="106">
        <v>1</v>
      </c>
      <c r="R89" s="127">
        <v>18</v>
      </c>
      <c r="S89" s="2">
        <v>0</v>
      </c>
      <c r="T89" s="2">
        <v>1</v>
      </c>
      <c r="U89" s="127">
        <v>15</v>
      </c>
      <c r="V89" s="2">
        <v>1</v>
      </c>
      <c r="W89" s="2">
        <v>2</v>
      </c>
      <c r="X89" s="109">
        <v>6</v>
      </c>
    </row>
    <row r="90" spans="1:24" x14ac:dyDescent="0.25">
      <c r="B90">
        <v>20091069</v>
      </c>
      <c r="C90" s="103">
        <v>11061.9</v>
      </c>
      <c r="D90" s="108">
        <v>6818.3</v>
      </c>
      <c r="E90" s="99">
        <v>1.56093E-4</v>
      </c>
      <c r="F90" s="99">
        <v>1.4693400000000001E-4</v>
      </c>
      <c r="G90" s="132">
        <v>1.14524E-4</v>
      </c>
      <c r="H90" s="133">
        <v>9.84526E-5</v>
      </c>
      <c r="I90" s="99">
        <v>1.1210299999999999E-4</v>
      </c>
      <c r="J90" s="133">
        <v>9.2697100000000004E-5</v>
      </c>
      <c r="K90" s="99">
        <v>9.2862799999999995E-5</v>
      </c>
      <c r="L90" s="116">
        <v>7.5836999999999999E-5</v>
      </c>
      <c r="M90" s="2">
        <v>11</v>
      </c>
      <c r="N90" s="2">
        <v>39</v>
      </c>
      <c r="O90" s="2">
        <v>56</v>
      </c>
      <c r="P90" s="126">
        <v>2</v>
      </c>
      <c r="Q90" s="106">
        <v>2</v>
      </c>
      <c r="R90" s="127">
        <v>12</v>
      </c>
      <c r="S90" s="2">
        <v>2</v>
      </c>
      <c r="T90" s="2">
        <v>0</v>
      </c>
      <c r="U90" s="127">
        <v>9</v>
      </c>
      <c r="V90" s="2">
        <v>2</v>
      </c>
      <c r="W90" s="2">
        <v>1</v>
      </c>
      <c r="X90" s="109">
        <v>3</v>
      </c>
    </row>
    <row r="91" spans="1:24" x14ac:dyDescent="0.25">
      <c r="B91">
        <v>20091094</v>
      </c>
      <c r="C91" s="103">
        <v>6788.9</v>
      </c>
      <c r="D91" s="108">
        <v>3871.7</v>
      </c>
      <c r="E91" s="99">
        <v>1.6328E-4</v>
      </c>
      <c r="F91" s="99">
        <v>1.6992299999999999E-4</v>
      </c>
      <c r="G91" s="132">
        <v>1.48727E-4</v>
      </c>
      <c r="H91" s="133">
        <v>1.5358700000000001E-4</v>
      </c>
      <c r="I91" s="99">
        <v>1.3220199999999999E-4</v>
      </c>
      <c r="J91" s="133">
        <v>1.3116899999999999E-4</v>
      </c>
      <c r="K91" s="99">
        <v>1.1078000000000001E-4</v>
      </c>
      <c r="L91" s="116">
        <v>1.15429E-4</v>
      </c>
      <c r="M91" s="2">
        <v>6</v>
      </c>
      <c r="N91" s="2">
        <v>10</v>
      </c>
      <c r="O91" s="2">
        <v>24</v>
      </c>
      <c r="P91" s="126">
        <v>4</v>
      </c>
      <c r="Q91" s="106">
        <v>3</v>
      </c>
      <c r="R91" s="127">
        <v>16</v>
      </c>
      <c r="S91" s="2">
        <v>6</v>
      </c>
      <c r="T91" s="2">
        <v>2</v>
      </c>
      <c r="U91" s="127">
        <v>9</v>
      </c>
      <c r="V91" s="2">
        <v>4</v>
      </c>
      <c r="W91" s="2">
        <v>1</v>
      </c>
      <c r="X91" s="109">
        <v>7</v>
      </c>
    </row>
    <row r="92" spans="1:24" x14ac:dyDescent="0.25">
      <c r="B92">
        <v>20091119</v>
      </c>
      <c r="C92" s="103">
        <v>67823.899999999994</v>
      </c>
      <c r="D92" s="108">
        <v>6307.8</v>
      </c>
      <c r="E92" s="99">
        <v>4.0481500000000002E-5</v>
      </c>
      <c r="F92" s="99">
        <v>5.2845E-5</v>
      </c>
      <c r="G92" s="132">
        <v>1.14358E-6</v>
      </c>
      <c r="H92" s="133">
        <v>1.9322800000000001E-5</v>
      </c>
      <c r="I92" s="99">
        <v>8.5768800000000005E-7</v>
      </c>
      <c r="J92" s="133">
        <v>1.16376E-5</v>
      </c>
      <c r="K92" s="100">
        <v>1.9999999999999999E-7</v>
      </c>
      <c r="L92" s="116">
        <v>6.2945499999999997E-6</v>
      </c>
      <c r="M92" s="2">
        <v>56</v>
      </c>
      <c r="N92" s="2">
        <v>21</v>
      </c>
      <c r="O92" s="2">
        <v>32</v>
      </c>
      <c r="P92" s="126">
        <v>0</v>
      </c>
      <c r="Q92" s="106">
        <v>7</v>
      </c>
      <c r="R92" s="127">
        <v>2</v>
      </c>
      <c r="S92" s="2">
        <v>0</v>
      </c>
      <c r="T92" s="2">
        <v>2</v>
      </c>
      <c r="U92" s="127">
        <v>1</v>
      </c>
      <c r="V92" s="2">
        <v>0</v>
      </c>
      <c r="W92" s="2">
        <v>1</v>
      </c>
      <c r="X92" s="109">
        <v>0</v>
      </c>
    </row>
    <row r="93" spans="1:24" x14ac:dyDescent="0.25">
      <c r="B93">
        <v>20091973</v>
      </c>
      <c r="C93" s="103">
        <v>12710.5</v>
      </c>
      <c r="D93" s="108">
        <v>4899.8</v>
      </c>
      <c r="E93" s="99">
        <v>4.3260499999999997E-5</v>
      </c>
      <c r="F93" s="99">
        <v>4.7018100000000003E-5</v>
      </c>
      <c r="G93" s="132">
        <v>1.45291E-5</v>
      </c>
      <c r="H93" s="133">
        <v>2.31793E-5</v>
      </c>
      <c r="I93" s="99">
        <v>5.6300399999999997E-6</v>
      </c>
      <c r="J93" s="133">
        <v>1.7808500000000001E-5</v>
      </c>
      <c r="K93" s="99">
        <v>4.3587399999999997E-6</v>
      </c>
      <c r="L93" s="116">
        <v>1.1307E-5</v>
      </c>
      <c r="M93" s="2">
        <v>8</v>
      </c>
      <c r="N93" s="2">
        <v>8</v>
      </c>
      <c r="O93" s="2">
        <v>34</v>
      </c>
      <c r="P93" s="126">
        <v>0</v>
      </c>
      <c r="Q93" s="106">
        <v>2</v>
      </c>
      <c r="R93" s="127">
        <v>10</v>
      </c>
      <c r="S93" s="2">
        <v>1</v>
      </c>
      <c r="T93" s="2">
        <v>2</v>
      </c>
      <c r="U93" s="127">
        <v>6</v>
      </c>
      <c r="V93" s="2">
        <v>0</v>
      </c>
      <c r="W93" s="2">
        <v>0</v>
      </c>
      <c r="X93" s="109">
        <v>5</v>
      </c>
    </row>
    <row r="94" spans="1:24" x14ac:dyDescent="0.25">
      <c r="B94">
        <v>20091980</v>
      </c>
      <c r="C94" s="103">
        <v>49146.2</v>
      </c>
      <c r="D94" s="108">
        <v>7478.2</v>
      </c>
      <c r="E94" s="99">
        <v>1.72991E-4</v>
      </c>
      <c r="F94" s="99">
        <v>1.25511E-4</v>
      </c>
      <c r="G94" s="132">
        <v>1.3355499999999999E-4</v>
      </c>
      <c r="H94" s="133">
        <v>9.0197499999999998E-5</v>
      </c>
      <c r="I94" s="99">
        <v>1.2411400000000001E-4</v>
      </c>
      <c r="J94" s="133">
        <v>8.6246299999999994E-5</v>
      </c>
      <c r="K94" s="99">
        <v>1.18675E-4</v>
      </c>
      <c r="L94" s="116">
        <v>6.5749700000000005E-5</v>
      </c>
      <c r="M94" s="2">
        <v>39</v>
      </c>
      <c r="N94" s="2">
        <v>27</v>
      </c>
      <c r="O94" s="2">
        <v>46</v>
      </c>
      <c r="P94" s="126">
        <v>2</v>
      </c>
      <c r="Q94" s="106">
        <v>2</v>
      </c>
      <c r="R94" s="127">
        <v>10</v>
      </c>
      <c r="S94" s="2">
        <v>1</v>
      </c>
      <c r="T94" s="2">
        <v>5</v>
      </c>
      <c r="U94" s="127">
        <v>5</v>
      </c>
      <c r="V94" s="2">
        <v>1</v>
      </c>
      <c r="W94" s="2">
        <v>0</v>
      </c>
      <c r="X94" s="109">
        <v>3</v>
      </c>
    </row>
    <row r="95" spans="1:24" x14ac:dyDescent="0.25">
      <c r="B95">
        <v>20091981</v>
      </c>
      <c r="C95" s="103">
        <v>33419.699999999997</v>
      </c>
      <c r="D95" s="108">
        <v>7408.2</v>
      </c>
      <c r="E95" s="99">
        <v>1.6328899999999999E-5</v>
      </c>
      <c r="F95" s="99">
        <v>1.5268600000000002E-5</v>
      </c>
      <c r="G95" s="132">
        <v>3.20499E-6</v>
      </c>
      <c r="H95" s="133">
        <v>5.23493E-6</v>
      </c>
      <c r="I95" s="99">
        <v>3.20499E-6</v>
      </c>
      <c r="J95" s="133">
        <v>1.9319399999999999E-6</v>
      </c>
      <c r="K95" s="100">
        <v>1.9999999999999999E-7</v>
      </c>
      <c r="L95" s="118">
        <v>1.9999999999999999E-7</v>
      </c>
      <c r="M95" s="2">
        <v>17</v>
      </c>
      <c r="N95" s="2">
        <v>8</v>
      </c>
      <c r="O95" s="2">
        <v>13</v>
      </c>
      <c r="P95" s="126">
        <v>0</v>
      </c>
      <c r="Q95" s="106">
        <v>1</v>
      </c>
      <c r="R95" s="127">
        <v>2</v>
      </c>
      <c r="S95" s="2">
        <v>1</v>
      </c>
      <c r="T95" s="2">
        <v>0</v>
      </c>
      <c r="U95" s="127">
        <v>1</v>
      </c>
      <c r="V95" s="2">
        <v>0</v>
      </c>
      <c r="W95" s="2">
        <v>0</v>
      </c>
      <c r="X95" s="109">
        <v>0</v>
      </c>
    </row>
    <row r="96" spans="1:24" x14ac:dyDescent="0.25">
      <c r="B96">
        <v>20091983</v>
      </c>
      <c r="C96" s="103">
        <v>30988.3</v>
      </c>
      <c r="D96" s="108">
        <v>7421.9</v>
      </c>
      <c r="E96" s="99">
        <v>4.7049599999999998E-5</v>
      </c>
      <c r="F96" s="99">
        <v>4.0868799999999997E-5</v>
      </c>
      <c r="G96" s="132">
        <v>9.3711900000000003E-6</v>
      </c>
      <c r="H96" s="133">
        <v>1.1881200000000001E-5</v>
      </c>
      <c r="I96" s="99">
        <v>7.8068400000000006E-6</v>
      </c>
      <c r="J96" s="133">
        <v>8.3976999999999992E-6</v>
      </c>
      <c r="K96" s="100">
        <v>1.9999999999999999E-7</v>
      </c>
      <c r="L96" s="118">
        <v>1.9999999999999999E-7</v>
      </c>
      <c r="M96" s="2">
        <v>37</v>
      </c>
      <c r="N96" s="2">
        <v>8</v>
      </c>
      <c r="O96" s="2">
        <v>44</v>
      </c>
      <c r="P96" s="126">
        <v>1</v>
      </c>
      <c r="Q96" s="106">
        <v>0</v>
      </c>
      <c r="R96" s="127">
        <v>5</v>
      </c>
      <c r="S96" s="2">
        <v>1</v>
      </c>
      <c r="T96" s="2">
        <v>1</v>
      </c>
      <c r="U96" s="127">
        <v>2</v>
      </c>
      <c r="V96" s="2">
        <v>0</v>
      </c>
      <c r="W96" s="2">
        <v>0</v>
      </c>
      <c r="X96" s="109">
        <v>0</v>
      </c>
    </row>
    <row r="97" spans="2:24" x14ac:dyDescent="0.25">
      <c r="B97">
        <v>20092285</v>
      </c>
      <c r="C97" s="103">
        <v>11566.7</v>
      </c>
      <c r="D97" s="108">
        <v>4546.8</v>
      </c>
      <c r="E97" s="99">
        <v>3.1396800000000003E-4</v>
      </c>
      <c r="F97" s="99">
        <v>3.4939699999999999E-4</v>
      </c>
      <c r="G97" s="132">
        <v>2.3833E-4</v>
      </c>
      <c r="H97" s="133">
        <v>2.7791300000000002E-4</v>
      </c>
      <c r="I97" s="99">
        <v>1.3331399999999999E-4</v>
      </c>
      <c r="J97" s="133">
        <v>2.0368799999999999E-4</v>
      </c>
      <c r="K97" s="100">
        <v>1.9999999999999999E-7</v>
      </c>
      <c r="L97" s="116">
        <v>2.3861799999999999E-5</v>
      </c>
      <c r="M97" s="2">
        <v>12</v>
      </c>
      <c r="N97" s="2">
        <v>36</v>
      </c>
      <c r="O97" s="2">
        <v>109</v>
      </c>
      <c r="P97" s="126">
        <v>7</v>
      </c>
      <c r="Q97" s="106">
        <v>21</v>
      </c>
      <c r="R97" s="127">
        <v>57</v>
      </c>
      <c r="S97" s="2">
        <v>6</v>
      </c>
      <c r="T97" s="2">
        <v>22</v>
      </c>
      <c r="U97" s="127">
        <v>25</v>
      </c>
      <c r="V97" s="2">
        <v>0</v>
      </c>
      <c r="W97" s="2">
        <v>5</v>
      </c>
      <c r="X97" s="109">
        <v>0</v>
      </c>
    </row>
    <row r="98" spans="2:24" x14ac:dyDescent="0.25">
      <c r="B98">
        <v>20110089</v>
      </c>
      <c r="C98" s="103">
        <v>2000.7</v>
      </c>
      <c r="D98" s="108">
        <v>1989.1</v>
      </c>
      <c r="E98" s="99">
        <v>2.3075600000000001E-4</v>
      </c>
      <c r="F98" s="99">
        <v>2.4487199999999998E-4</v>
      </c>
      <c r="G98" s="132">
        <v>2.27295E-4</v>
      </c>
      <c r="H98" s="133">
        <v>2.26536E-4</v>
      </c>
      <c r="I98" s="99">
        <v>2.1414200000000001E-4</v>
      </c>
      <c r="J98" s="133">
        <v>2.1330599999999999E-4</v>
      </c>
      <c r="K98" s="99">
        <v>1.6383700000000001E-4</v>
      </c>
      <c r="L98" s="116">
        <v>1.63635E-4</v>
      </c>
      <c r="M98" s="2">
        <v>0</v>
      </c>
      <c r="N98" s="2">
        <v>13</v>
      </c>
      <c r="O98" s="2">
        <v>32</v>
      </c>
      <c r="P98" s="126">
        <v>0</v>
      </c>
      <c r="Q98" s="106">
        <v>0</v>
      </c>
      <c r="R98" s="127">
        <v>30</v>
      </c>
      <c r="S98" s="2">
        <v>0</v>
      </c>
      <c r="T98" s="2">
        <v>0</v>
      </c>
      <c r="U98" s="127">
        <v>26</v>
      </c>
      <c r="V98" s="2">
        <v>0</v>
      </c>
      <c r="W98" s="2">
        <v>0</v>
      </c>
      <c r="X98" s="109">
        <v>16</v>
      </c>
    </row>
    <row r="99" spans="2:24" x14ac:dyDescent="0.25">
      <c r="B99">
        <v>20110129</v>
      </c>
      <c r="C99" s="103">
        <v>26307.9</v>
      </c>
      <c r="D99" s="108">
        <v>7292.1</v>
      </c>
      <c r="E99" s="99">
        <v>5.8947499999999998E-5</v>
      </c>
      <c r="F99" s="99">
        <v>5.13465E-5</v>
      </c>
      <c r="G99" s="132">
        <v>2.14099E-5</v>
      </c>
      <c r="H99" s="133">
        <v>2.0576599999999999E-5</v>
      </c>
      <c r="I99" s="99">
        <v>2.02868E-5</v>
      </c>
      <c r="J99" s="133">
        <v>1.7221E-5</v>
      </c>
      <c r="K99" s="99">
        <v>1.8110699999999999E-5</v>
      </c>
      <c r="L99" s="116">
        <v>1.3359E-5</v>
      </c>
      <c r="M99" s="2">
        <v>37</v>
      </c>
      <c r="N99" s="2">
        <v>21</v>
      </c>
      <c r="O99" s="2">
        <v>44</v>
      </c>
      <c r="P99" s="126">
        <v>2</v>
      </c>
      <c r="Q99" s="106">
        <v>1</v>
      </c>
      <c r="R99" s="127">
        <v>5</v>
      </c>
      <c r="S99" s="2">
        <v>1</v>
      </c>
      <c r="T99" s="2">
        <v>0</v>
      </c>
      <c r="U99" s="127">
        <v>3</v>
      </c>
      <c r="V99" s="2">
        <v>1</v>
      </c>
      <c r="W99" s="2">
        <v>0</v>
      </c>
      <c r="X99" s="109">
        <v>2</v>
      </c>
    </row>
    <row r="100" spans="2:24" x14ac:dyDescent="0.25">
      <c r="B100">
        <v>20110216</v>
      </c>
      <c r="C100" s="103">
        <v>2904.6</v>
      </c>
      <c r="D100" s="108">
        <v>2871.7</v>
      </c>
      <c r="E100" s="99">
        <v>1.94391E-4</v>
      </c>
      <c r="F100" s="99">
        <v>2.17524E-4</v>
      </c>
      <c r="G100" s="132">
        <v>1.7563499999999999E-4</v>
      </c>
      <c r="H100" s="133">
        <v>1.8263700000000001E-4</v>
      </c>
      <c r="I100" s="99">
        <v>1.6435000000000001E-4</v>
      </c>
      <c r="J100" s="133">
        <v>1.7154299999999999E-4</v>
      </c>
      <c r="K100" s="99">
        <v>1.52588E-4</v>
      </c>
      <c r="L100" s="116">
        <v>1.55305E-4</v>
      </c>
      <c r="M100" s="2">
        <v>0</v>
      </c>
      <c r="N100" s="2">
        <v>28</v>
      </c>
      <c r="O100" s="2">
        <v>35</v>
      </c>
      <c r="P100" s="126">
        <v>0</v>
      </c>
      <c r="Q100" s="106">
        <v>13</v>
      </c>
      <c r="R100" s="127">
        <v>26</v>
      </c>
      <c r="S100" s="2">
        <v>0</v>
      </c>
      <c r="T100" s="2">
        <v>13</v>
      </c>
      <c r="U100" s="127">
        <v>22</v>
      </c>
      <c r="V100" s="2">
        <v>0</v>
      </c>
      <c r="W100" s="2">
        <v>4</v>
      </c>
      <c r="X100" s="109">
        <v>20</v>
      </c>
    </row>
    <row r="101" spans="2:24" x14ac:dyDescent="0.25">
      <c r="B101">
        <v>20120513</v>
      </c>
      <c r="C101" s="103">
        <v>3908.7</v>
      </c>
      <c r="D101" s="108">
        <v>3347.6</v>
      </c>
      <c r="E101" s="99">
        <v>4.16953E-5</v>
      </c>
      <c r="F101" s="99">
        <v>6.6060200000000002E-5</v>
      </c>
      <c r="G101" s="132">
        <v>2.6576399999999999E-5</v>
      </c>
      <c r="H101" s="133">
        <v>3.0202899999999998E-5</v>
      </c>
      <c r="I101" s="99">
        <v>2.0079900000000001E-5</v>
      </c>
      <c r="J101" s="133">
        <v>2.4548500000000001E-5</v>
      </c>
      <c r="K101" s="99">
        <v>1.9016900000000001E-5</v>
      </c>
      <c r="L101" s="116">
        <v>2.2065999999999998E-5</v>
      </c>
      <c r="M101" s="2">
        <v>2</v>
      </c>
      <c r="N101" s="2">
        <v>36</v>
      </c>
      <c r="O101" s="2">
        <v>16</v>
      </c>
      <c r="P101" s="126">
        <v>1</v>
      </c>
      <c r="Q101" s="106">
        <v>10</v>
      </c>
      <c r="R101" s="127">
        <v>9</v>
      </c>
      <c r="S101" s="2">
        <v>0</v>
      </c>
      <c r="T101" s="2">
        <v>8</v>
      </c>
      <c r="U101" s="127">
        <v>7</v>
      </c>
      <c r="V101" s="2">
        <v>1</v>
      </c>
      <c r="W101" s="2">
        <v>8</v>
      </c>
      <c r="X101" s="109">
        <v>5</v>
      </c>
    </row>
    <row r="102" spans="2:24" x14ac:dyDescent="0.25">
      <c r="B102">
        <v>20120642</v>
      </c>
      <c r="C102" s="103">
        <v>2325.9</v>
      </c>
      <c r="D102" s="108">
        <v>2317.6999999999998</v>
      </c>
      <c r="E102" s="99">
        <v>1.3298999999999999E-5</v>
      </c>
      <c r="F102" s="99">
        <v>2.05171E-5</v>
      </c>
      <c r="G102" s="132">
        <v>5.5578100000000002E-6</v>
      </c>
      <c r="H102" s="133">
        <v>6.3742300000000003E-6</v>
      </c>
      <c r="I102" s="99">
        <v>4.1683600000000004E-6</v>
      </c>
      <c r="J102" s="133">
        <v>4.97987E-6</v>
      </c>
      <c r="K102" s="99">
        <v>4.1683600000000004E-6</v>
      </c>
      <c r="L102" s="116">
        <v>4.97987E-6</v>
      </c>
      <c r="M102" s="2">
        <v>0</v>
      </c>
      <c r="N102" s="2">
        <v>8</v>
      </c>
      <c r="O102" s="2">
        <v>8</v>
      </c>
      <c r="P102" s="126">
        <v>0</v>
      </c>
      <c r="Q102" s="106">
        <v>2</v>
      </c>
      <c r="R102" s="127">
        <v>4</v>
      </c>
      <c r="S102" s="2">
        <v>0</v>
      </c>
      <c r="T102" s="2">
        <v>2</v>
      </c>
      <c r="U102" s="127">
        <v>3</v>
      </c>
      <c r="V102" s="2">
        <v>0</v>
      </c>
      <c r="W102" s="2">
        <v>2</v>
      </c>
      <c r="X102" s="109">
        <v>3</v>
      </c>
    </row>
    <row r="103" spans="2:24" x14ac:dyDescent="0.25">
      <c r="B103">
        <v>20120647</v>
      </c>
      <c r="C103" s="103">
        <v>2977.9</v>
      </c>
      <c r="D103" s="108">
        <v>2969.3</v>
      </c>
      <c r="E103" s="99">
        <v>2.3472099999999999E-4</v>
      </c>
      <c r="F103" s="99">
        <v>2.5903299999999998E-4</v>
      </c>
      <c r="G103" s="132">
        <v>2.1379099999999999E-4</v>
      </c>
      <c r="H103" s="133">
        <v>2.1751999999999999E-4</v>
      </c>
      <c r="I103" s="99">
        <v>2.01234E-4</v>
      </c>
      <c r="J103" s="133">
        <v>2.03215E-4</v>
      </c>
      <c r="K103" s="99">
        <v>1.3456899999999999E-4</v>
      </c>
      <c r="L103" s="116">
        <v>1.3558099999999999E-4</v>
      </c>
      <c r="M103" s="2">
        <v>0</v>
      </c>
      <c r="N103" s="2">
        <v>30</v>
      </c>
      <c r="O103" s="2">
        <v>39</v>
      </c>
      <c r="P103" s="126">
        <v>0</v>
      </c>
      <c r="Q103" s="106">
        <v>9</v>
      </c>
      <c r="R103" s="127">
        <v>28</v>
      </c>
      <c r="S103" s="2">
        <v>0</v>
      </c>
      <c r="T103" s="2">
        <v>6</v>
      </c>
      <c r="U103" s="127">
        <v>25</v>
      </c>
      <c r="V103" s="2">
        <v>0</v>
      </c>
      <c r="W103" s="2">
        <v>2</v>
      </c>
      <c r="X103" s="109">
        <v>11</v>
      </c>
    </row>
    <row r="104" spans="2:24" x14ac:dyDescent="0.25">
      <c r="B104">
        <v>20120850</v>
      </c>
      <c r="C104" s="103">
        <v>21669.1</v>
      </c>
      <c r="D104" s="108">
        <v>7271.2</v>
      </c>
      <c r="E104" s="99">
        <v>6.4024399999999996E-5</v>
      </c>
      <c r="F104" s="99">
        <v>6.7494699999999996E-5</v>
      </c>
      <c r="G104" s="132">
        <v>2.7271600000000001E-6</v>
      </c>
      <c r="H104" s="133">
        <v>8.1907900000000006E-6</v>
      </c>
      <c r="I104" s="99">
        <v>8.0962600000000003E-7</v>
      </c>
      <c r="J104" s="133">
        <v>1.58736E-6</v>
      </c>
      <c r="K104" s="99">
        <v>5.7526100000000001E-7</v>
      </c>
      <c r="L104" s="116">
        <v>1.58736E-6</v>
      </c>
      <c r="M104" s="2">
        <v>25</v>
      </c>
      <c r="N104" s="2">
        <v>35</v>
      </c>
      <c r="O104" s="2">
        <v>79</v>
      </c>
      <c r="P104" s="126">
        <v>1</v>
      </c>
      <c r="Q104" s="106">
        <v>2</v>
      </c>
      <c r="R104" s="127">
        <v>6</v>
      </c>
      <c r="S104" s="2">
        <v>1</v>
      </c>
      <c r="T104" s="2">
        <v>0</v>
      </c>
      <c r="U104" s="127">
        <v>1</v>
      </c>
      <c r="V104" s="2">
        <v>0</v>
      </c>
      <c r="W104" s="2">
        <v>0</v>
      </c>
      <c r="X104" s="109">
        <v>1</v>
      </c>
    </row>
    <row r="105" spans="2:24" x14ac:dyDescent="0.25">
      <c r="B105">
        <v>20120884</v>
      </c>
      <c r="C105" s="103">
        <v>22587.4</v>
      </c>
      <c r="D105" s="108">
        <v>5119.1000000000004</v>
      </c>
      <c r="E105" s="99">
        <v>1.1714000000000001E-4</v>
      </c>
      <c r="F105" s="99">
        <v>1.02814E-4</v>
      </c>
      <c r="G105" s="132">
        <v>7.3603399999999994E-5</v>
      </c>
      <c r="H105" s="133">
        <v>7.9365199999999997E-5</v>
      </c>
      <c r="I105" s="99">
        <v>6.7594200000000004E-5</v>
      </c>
      <c r="J105" s="133">
        <v>7.5216500000000001E-5</v>
      </c>
      <c r="K105" s="99">
        <v>4.5641900000000001E-5</v>
      </c>
      <c r="L105" s="116">
        <v>5.8080900000000002E-5</v>
      </c>
      <c r="M105" s="2">
        <v>32</v>
      </c>
      <c r="N105" s="2">
        <v>8</v>
      </c>
      <c r="O105" s="2">
        <v>39</v>
      </c>
      <c r="P105" s="126">
        <v>2</v>
      </c>
      <c r="Q105" s="106">
        <v>2</v>
      </c>
      <c r="R105" s="127">
        <v>14</v>
      </c>
      <c r="S105" s="2">
        <v>1</v>
      </c>
      <c r="T105" s="2">
        <v>2</v>
      </c>
      <c r="U105" s="127">
        <v>12</v>
      </c>
      <c r="V105" s="2">
        <v>0</v>
      </c>
      <c r="W105" s="2">
        <v>0</v>
      </c>
      <c r="X105" s="109">
        <v>7</v>
      </c>
    </row>
    <row r="106" spans="2:24" x14ac:dyDescent="0.25">
      <c r="B106">
        <v>20120907</v>
      </c>
      <c r="C106" s="103">
        <v>9258.7000000000007</v>
      </c>
      <c r="D106" s="108">
        <v>4959.6000000000004</v>
      </c>
      <c r="E106" s="99">
        <v>1.11597E-4</v>
      </c>
      <c r="F106" s="99">
        <v>1.6588400000000001E-4</v>
      </c>
      <c r="G106" s="132">
        <v>7.3999199999999994E-5</v>
      </c>
      <c r="H106" s="133">
        <v>1.02118E-4</v>
      </c>
      <c r="I106" s="99">
        <v>1.51589E-5</v>
      </c>
      <c r="J106" s="133">
        <v>3.8352500000000003E-5</v>
      </c>
      <c r="K106" s="99">
        <v>7.2303799999999997E-6</v>
      </c>
      <c r="L106" s="116">
        <v>1.34979E-5</v>
      </c>
      <c r="M106" s="2">
        <v>7</v>
      </c>
      <c r="N106" s="2">
        <v>61</v>
      </c>
      <c r="O106" s="2">
        <v>91</v>
      </c>
      <c r="P106" s="126">
        <v>1</v>
      </c>
      <c r="Q106" s="106">
        <v>13</v>
      </c>
      <c r="R106" s="127">
        <v>59</v>
      </c>
      <c r="S106" s="2">
        <v>1</v>
      </c>
      <c r="T106" s="2">
        <v>5</v>
      </c>
      <c r="U106" s="127">
        <v>18</v>
      </c>
      <c r="V106" s="2">
        <v>0</v>
      </c>
      <c r="W106" s="2">
        <v>0</v>
      </c>
      <c r="X106" s="109">
        <v>4</v>
      </c>
    </row>
    <row r="107" spans="2:24" x14ac:dyDescent="0.25">
      <c r="B107">
        <v>20120924</v>
      </c>
      <c r="C107" s="103">
        <v>10965.1</v>
      </c>
      <c r="D107" s="108">
        <v>6453.7</v>
      </c>
      <c r="E107" s="99">
        <v>3.3430999999999999E-5</v>
      </c>
      <c r="F107" s="99">
        <v>6.2380100000000003E-5</v>
      </c>
      <c r="G107" s="132">
        <v>2.65259E-6</v>
      </c>
      <c r="H107" s="133">
        <v>4.9360400000000001E-6</v>
      </c>
      <c r="I107" s="99">
        <v>3.3683700000000001E-7</v>
      </c>
      <c r="J107" s="133">
        <v>5.7229399999999995E-7</v>
      </c>
      <c r="K107" s="100">
        <v>1.9999999999999999E-7</v>
      </c>
      <c r="L107" s="118">
        <v>1.9999999999999999E-7</v>
      </c>
      <c r="M107" s="2">
        <v>5</v>
      </c>
      <c r="N107" s="2">
        <v>64</v>
      </c>
      <c r="O107" s="2">
        <v>41</v>
      </c>
      <c r="P107" s="126">
        <v>0</v>
      </c>
      <c r="Q107" s="106">
        <v>2</v>
      </c>
      <c r="R107" s="127">
        <v>7</v>
      </c>
      <c r="S107" s="2">
        <v>0</v>
      </c>
      <c r="T107" s="2">
        <v>0</v>
      </c>
      <c r="U107" s="127">
        <v>1</v>
      </c>
      <c r="V107" s="2">
        <v>0</v>
      </c>
      <c r="W107" s="2">
        <v>0</v>
      </c>
      <c r="X107" s="109">
        <v>0</v>
      </c>
    </row>
    <row r="108" spans="2:24" x14ac:dyDescent="0.25">
      <c r="B108">
        <v>20120992</v>
      </c>
      <c r="C108" s="103">
        <v>7856</v>
      </c>
      <c r="D108" s="108">
        <v>6100.5</v>
      </c>
      <c r="E108" s="99">
        <v>7.6163599999999997E-5</v>
      </c>
      <c r="F108" s="99">
        <v>1.1904300000000001E-4</v>
      </c>
      <c r="G108" s="132">
        <v>2.29196E-5</v>
      </c>
      <c r="H108" s="133">
        <v>2.5276700000000001E-5</v>
      </c>
      <c r="I108" s="99">
        <v>9.69675E-6</v>
      </c>
      <c r="J108" s="133">
        <v>1.2638300000000001E-5</v>
      </c>
      <c r="K108" s="99">
        <v>3.81993E-6</v>
      </c>
      <c r="L108" s="116">
        <v>1.02166E-5</v>
      </c>
      <c r="M108" s="2">
        <v>6</v>
      </c>
      <c r="N108" s="2">
        <v>84</v>
      </c>
      <c r="O108" s="2">
        <v>72</v>
      </c>
      <c r="P108" s="126">
        <v>4</v>
      </c>
      <c r="Q108" s="106">
        <v>3</v>
      </c>
      <c r="R108" s="127">
        <v>16</v>
      </c>
      <c r="S108" s="2">
        <v>0</v>
      </c>
      <c r="T108" s="2">
        <v>3</v>
      </c>
      <c r="U108" s="127">
        <v>4</v>
      </c>
      <c r="V108" s="2">
        <v>0</v>
      </c>
      <c r="W108" s="2">
        <v>1</v>
      </c>
      <c r="X108" s="109">
        <v>2</v>
      </c>
    </row>
    <row r="109" spans="2:24" x14ac:dyDescent="0.25">
      <c r="B109">
        <v>20121009</v>
      </c>
      <c r="C109" s="103">
        <v>10336.9</v>
      </c>
      <c r="D109" s="108">
        <v>5648.6</v>
      </c>
      <c r="E109" s="99">
        <v>7.9858399999999994E-5</v>
      </c>
      <c r="F109" s="99">
        <v>8.6964299999999997E-5</v>
      </c>
      <c r="G109" s="132">
        <v>1.6704199999999998E-5</v>
      </c>
      <c r="H109" s="133">
        <v>2.2967099999999999E-5</v>
      </c>
      <c r="I109" s="99">
        <v>1.0451299999999999E-5</v>
      </c>
      <c r="J109" s="133">
        <v>1.28321E-5</v>
      </c>
      <c r="K109" s="99">
        <v>8.9327100000000003E-7</v>
      </c>
      <c r="L109" s="116">
        <v>1.63467E-6</v>
      </c>
      <c r="M109" s="2">
        <v>11</v>
      </c>
      <c r="N109" s="2">
        <v>38</v>
      </c>
      <c r="O109" s="2">
        <v>70</v>
      </c>
      <c r="P109" s="126">
        <v>0</v>
      </c>
      <c r="Q109" s="106">
        <v>4</v>
      </c>
      <c r="R109" s="127">
        <v>13</v>
      </c>
      <c r="S109" s="2">
        <v>0</v>
      </c>
      <c r="T109" s="2">
        <v>0</v>
      </c>
      <c r="U109" s="127">
        <v>8</v>
      </c>
      <c r="V109" s="2">
        <v>1</v>
      </c>
      <c r="W109" s="2">
        <v>1</v>
      </c>
      <c r="X109" s="109">
        <v>0</v>
      </c>
    </row>
    <row r="110" spans="2:24" x14ac:dyDescent="0.25">
      <c r="B110">
        <v>20121026</v>
      </c>
      <c r="C110" s="103">
        <v>4241.7</v>
      </c>
      <c r="D110" s="108">
        <v>4139.2</v>
      </c>
      <c r="E110" s="99">
        <v>9.8719899999999996E-5</v>
      </c>
      <c r="F110" s="99">
        <v>1.1399400000000001E-4</v>
      </c>
      <c r="G110" s="132">
        <v>8.6311900000000003E-5</v>
      </c>
      <c r="H110" s="133">
        <v>8.6331900000000006E-5</v>
      </c>
      <c r="I110" s="99">
        <v>6.5523000000000003E-5</v>
      </c>
      <c r="J110" s="133">
        <v>6.3912300000000001E-5</v>
      </c>
      <c r="K110" s="99">
        <v>2.6557500000000001E-5</v>
      </c>
      <c r="L110" s="116">
        <v>2.6769599999999999E-5</v>
      </c>
      <c r="M110" s="2">
        <v>0</v>
      </c>
      <c r="N110" s="2">
        <v>26</v>
      </c>
      <c r="O110" s="2">
        <v>35</v>
      </c>
      <c r="P110" s="126">
        <v>0</v>
      </c>
      <c r="Q110" s="106">
        <v>3</v>
      </c>
      <c r="R110" s="127">
        <v>26</v>
      </c>
      <c r="S110" s="2">
        <v>1</v>
      </c>
      <c r="T110" s="2">
        <v>1</v>
      </c>
      <c r="U110" s="127">
        <v>16</v>
      </c>
      <c r="V110" s="2">
        <v>0</v>
      </c>
      <c r="W110" s="2">
        <v>0</v>
      </c>
      <c r="X110" s="109">
        <v>6</v>
      </c>
    </row>
    <row r="111" spans="2:24" x14ac:dyDescent="0.25">
      <c r="B111">
        <v>20121040</v>
      </c>
      <c r="C111" s="103">
        <v>9040.1</v>
      </c>
      <c r="D111" s="108">
        <v>4135.3</v>
      </c>
      <c r="E111" s="99">
        <v>5.3674700000000003E-5</v>
      </c>
      <c r="F111" s="99">
        <v>6.9219099999999996E-5</v>
      </c>
      <c r="G111" s="132">
        <v>1.8129900000000001E-5</v>
      </c>
      <c r="H111" s="133">
        <v>1.9426E-5</v>
      </c>
      <c r="I111" s="99">
        <v>5.9752099999999998E-6</v>
      </c>
      <c r="J111" s="133">
        <v>1.08294E-5</v>
      </c>
      <c r="K111" s="99">
        <v>2.45137E-6</v>
      </c>
      <c r="L111" s="116">
        <v>5.2472499999999996E-6</v>
      </c>
      <c r="M111" s="2">
        <v>6</v>
      </c>
      <c r="N111" s="2">
        <v>25</v>
      </c>
      <c r="O111" s="2">
        <v>36</v>
      </c>
      <c r="P111" s="126">
        <v>1</v>
      </c>
      <c r="Q111" s="106">
        <v>2</v>
      </c>
      <c r="R111" s="127">
        <v>7</v>
      </c>
      <c r="S111" s="2">
        <v>1</v>
      </c>
      <c r="T111" s="2">
        <v>1</v>
      </c>
      <c r="U111" s="127">
        <v>3</v>
      </c>
      <c r="V111" s="2">
        <v>0</v>
      </c>
      <c r="W111" s="2">
        <v>1</v>
      </c>
      <c r="X111" s="109">
        <v>2</v>
      </c>
    </row>
    <row r="112" spans="2:24" x14ac:dyDescent="0.25">
      <c r="B112">
        <v>20121047</v>
      </c>
      <c r="C112" s="103">
        <v>3567</v>
      </c>
      <c r="D112" s="108">
        <v>3527.3</v>
      </c>
      <c r="E112" s="99">
        <v>5.8800300000000003E-4</v>
      </c>
      <c r="F112" s="99">
        <v>6.1687899999999997E-4</v>
      </c>
      <c r="G112" s="132">
        <v>5.5538699999999996E-4</v>
      </c>
      <c r="H112" s="133">
        <v>5.6046600000000002E-4</v>
      </c>
      <c r="I112" s="99">
        <v>5.3338400000000003E-4</v>
      </c>
      <c r="J112" s="133">
        <v>5.3572799999999996E-4</v>
      </c>
      <c r="K112" s="99">
        <v>2.5782600000000001E-4</v>
      </c>
      <c r="L112" s="116">
        <v>2.3952700000000001E-4</v>
      </c>
      <c r="M112" s="2">
        <v>0</v>
      </c>
      <c r="N112" s="2">
        <v>47</v>
      </c>
      <c r="O112" s="2">
        <v>151</v>
      </c>
      <c r="P112" s="126">
        <v>0</v>
      </c>
      <c r="Q112" s="106">
        <v>14</v>
      </c>
      <c r="R112" s="127">
        <v>131</v>
      </c>
      <c r="S112" s="2">
        <v>0</v>
      </c>
      <c r="T112" s="2">
        <v>8</v>
      </c>
      <c r="U112" s="127">
        <v>122</v>
      </c>
      <c r="V112" s="2">
        <v>2</v>
      </c>
      <c r="W112" s="2">
        <v>1</v>
      </c>
      <c r="X112" s="109">
        <v>56</v>
      </c>
    </row>
    <row r="113" spans="1:24" x14ac:dyDescent="0.25">
      <c r="B113">
        <v>20121105</v>
      </c>
      <c r="C113" s="103">
        <v>1309.5</v>
      </c>
      <c r="D113" s="108">
        <v>1299</v>
      </c>
      <c r="E113" s="99">
        <v>4.33289E-4</v>
      </c>
      <c r="F113" s="99">
        <v>5.2281599999999995E-4</v>
      </c>
      <c r="G113" s="132">
        <v>4.2729600000000002E-4</v>
      </c>
      <c r="H113" s="133">
        <v>4.3716099999999998E-4</v>
      </c>
      <c r="I113" s="99">
        <v>2.9473500000000002E-4</v>
      </c>
      <c r="J113" s="133">
        <v>3.1098900000000001E-4</v>
      </c>
      <c r="K113" s="99">
        <v>2.4114699999999999E-4</v>
      </c>
      <c r="L113" s="116">
        <v>2.5447799999999999E-4</v>
      </c>
      <c r="M113" s="2">
        <v>0</v>
      </c>
      <c r="N113" s="2">
        <v>55</v>
      </c>
      <c r="O113" s="2">
        <v>120</v>
      </c>
      <c r="P113" s="126">
        <v>3</v>
      </c>
      <c r="Q113" s="106">
        <v>18</v>
      </c>
      <c r="R113" s="127">
        <v>115</v>
      </c>
      <c r="S113" s="2">
        <v>1</v>
      </c>
      <c r="T113" s="2">
        <v>17</v>
      </c>
      <c r="U113" s="127">
        <v>82</v>
      </c>
      <c r="V113" s="2">
        <v>0</v>
      </c>
      <c r="W113" s="2">
        <v>15</v>
      </c>
      <c r="X113" s="109">
        <v>72</v>
      </c>
    </row>
    <row r="114" spans="1:24" x14ac:dyDescent="0.25">
      <c r="B114">
        <v>20121116</v>
      </c>
      <c r="C114" s="103">
        <v>34645.5</v>
      </c>
      <c r="D114" s="108">
        <v>6777.8</v>
      </c>
      <c r="E114" s="99">
        <v>1.11044E-4</v>
      </c>
      <c r="F114" s="99">
        <v>1.01698E-4</v>
      </c>
      <c r="G114" s="132">
        <v>1.96823E-5</v>
      </c>
      <c r="H114" s="133">
        <v>3.0993E-5</v>
      </c>
      <c r="I114" s="99">
        <v>1.8389700000000001E-5</v>
      </c>
      <c r="J114" s="133">
        <v>2.11842E-5</v>
      </c>
      <c r="K114" s="99">
        <v>1.03942E-5</v>
      </c>
      <c r="L114" s="116">
        <v>1.55305E-5</v>
      </c>
      <c r="M114" s="2">
        <v>95</v>
      </c>
      <c r="N114" s="2">
        <v>54</v>
      </c>
      <c r="O114" s="2">
        <v>87</v>
      </c>
      <c r="P114" s="126">
        <v>0</v>
      </c>
      <c r="Q114" s="106">
        <v>5</v>
      </c>
      <c r="R114" s="127">
        <v>11</v>
      </c>
      <c r="S114" s="2">
        <v>0</v>
      </c>
      <c r="T114" s="2">
        <v>0</v>
      </c>
      <c r="U114" s="127">
        <v>6</v>
      </c>
      <c r="V114" s="2">
        <v>0</v>
      </c>
      <c r="W114" s="2">
        <v>1</v>
      </c>
      <c r="X114" s="109">
        <v>1</v>
      </c>
    </row>
    <row r="115" spans="1:24" x14ac:dyDescent="0.25">
      <c r="B115">
        <v>20121156</v>
      </c>
      <c r="C115" s="103">
        <v>22256.6</v>
      </c>
      <c r="D115" s="108">
        <v>7098</v>
      </c>
      <c r="E115" s="99">
        <v>6.3143299999999996E-5</v>
      </c>
      <c r="F115" s="99">
        <v>9.5809800000000006E-5</v>
      </c>
      <c r="G115" s="132">
        <v>2.8003800000000002E-6</v>
      </c>
      <c r="H115" s="133">
        <v>1.0081800000000001E-5</v>
      </c>
      <c r="I115" s="99">
        <v>1.80469E-6</v>
      </c>
      <c r="J115" s="133">
        <v>4.0977700000000004E-6</v>
      </c>
      <c r="K115" s="100">
        <v>1.9999999999999999E-7</v>
      </c>
      <c r="L115" s="118">
        <v>1.9999999999999999E-7</v>
      </c>
      <c r="M115" s="2">
        <v>45</v>
      </c>
      <c r="N115" s="2">
        <v>84</v>
      </c>
      <c r="O115" s="2">
        <v>86</v>
      </c>
      <c r="P115" s="126">
        <v>0</v>
      </c>
      <c r="Q115" s="106">
        <v>4</v>
      </c>
      <c r="R115" s="127">
        <v>6</v>
      </c>
      <c r="S115" s="2">
        <v>0</v>
      </c>
      <c r="T115" s="2">
        <v>0</v>
      </c>
      <c r="U115" s="127">
        <v>3</v>
      </c>
      <c r="V115" s="2">
        <v>0</v>
      </c>
      <c r="W115" s="2">
        <v>0</v>
      </c>
      <c r="X115" s="109">
        <v>0</v>
      </c>
    </row>
    <row r="116" spans="1:24" x14ac:dyDescent="0.25">
      <c r="B116">
        <v>20121201</v>
      </c>
      <c r="C116" s="103">
        <v>17059.099999999999</v>
      </c>
      <c r="D116" s="108">
        <v>4166.3999999999996</v>
      </c>
      <c r="E116" s="99">
        <v>1.3897099999999999E-4</v>
      </c>
      <c r="F116" s="99">
        <v>2.1198000000000001E-4</v>
      </c>
      <c r="G116" s="132">
        <v>7.8917299999999997E-5</v>
      </c>
      <c r="H116" s="133">
        <v>1.69872E-4</v>
      </c>
      <c r="I116" s="99">
        <v>6.0189300000000003E-5</v>
      </c>
      <c r="J116" s="133">
        <v>1.51366E-4</v>
      </c>
      <c r="K116" s="99">
        <v>3.46955E-5</v>
      </c>
      <c r="L116" s="116">
        <v>1.03053E-4</v>
      </c>
      <c r="M116" s="2">
        <v>36</v>
      </c>
      <c r="N116" s="2">
        <v>29</v>
      </c>
      <c r="O116" s="2">
        <v>123</v>
      </c>
      <c r="P116" s="126">
        <v>1</v>
      </c>
      <c r="Q116" s="106">
        <v>21</v>
      </c>
      <c r="R116" s="127">
        <v>93</v>
      </c>
      <c r="S116" s="2">
        <v>1</v>
      </c>
      <c r="T116" s="2">
        <v>20</v>
      </c>
      <c r="U116" s="127">
        <v>84</v>
      </c>
      <c r="V116" s="2">
        <v>3</v>
      </c>
      <c r="W116" s="2">
        <v>3</v>
      </c>
      <c r="X116" s="109">
        <v>55</v>
      </c>
    </row>
    <row r="117" spans="1:24" x14ac:dyDescent="0.25">
      <c r="B117">
        <v>20121208</v>
      </c>
      <c r="C117" s="103">
        <v>12670.3</v>
      </c>
      <c r="D117" s="108">
        <v>6869.1</v>
      </c>
      <c r="E117" s="99">
        <v>2.4158399999999999E-5</v>
      </c>
      <c r="F117" s="99">
        <v>5.0139500000000003E-5</v>
      </c>
      <c r="G117" s="132">
        <v>5.39282E-6</v>
      </c>
      <c r="H117" s="133">
        <v>8.9390800000000008E-6</v>
      </c>
      <c r="I117" s="99">
        <v>3.75311E-6</v>
      </c>
      <c r="J117" s="133">
        <v>5.9145800000000004E-6</v>
      </c>
      <c r="K117" s="100">
        <v>1.9999999999999999E-7</v>
      </c>
      <c r="L117" s="122">
        <v>3.36056E-7</v>
      </c>
      <c r="M117" s="2">
        <v>10</v>
      </c>
      <c r="N117" s="2">
        <v>55</v>
      </c>
      <c r="O117" s="2">
        <v>30</v>
      </c>
      <c r="P117" s="126">
        <v>1</v>
      </c>
      <c r="Q117" s="106">
        <v>1</v>
      </c>
      <c r="R117" s="127">
        <v>7</v>
      </c>
      <c r="S117" s="2">
        <v>1</v>
      </c>
      <c r="T117" s="2">
        <v>0</v>
      </c>
      <c r="U117" s="127">
        <v>4</v>
      </c>
      <c r="V117" s="2">
        <v>0</v>
      </c>
      <c r="W117" s="2">
        <v>1</v>
      </c>
      <c r="X117" s="109">
        <v>0</v>
      </c>
    </row>
    <row r="118" spans="1:24" x14ac:dyDescent="0.25">
      <c r="B118">
        <v>20121380</v>
      </c>
      <c r="C118" s="103">
        <v>9074.6</v>
      </c>
      <c r="D118" s="108">
        <v>4815.5</v>
      </c>
      <c r="E118" s="99">
        <v>3.1619699999999999E-4</v>
      </c>
      <c r="F118" s="99">
        <v>3.5885499999999999E-4</v>
      </c>
      <c r="G118" s="132">
        <v>2.2334699999999999E-4</v>
      </c>
      <c r="H118" s="133">
        <v>2.4323199999999999E-4</v>
      </c>
      <c r="I118" s="99">
        <v>1.9063399999999999E-4</v>
      </c>
      <c r="J118" s="133">
        <v>1.9951300000000001E-4</v>
      </c>
      <c r="K118" s="99">
        <v>1.67739E-4</v>
      </c>
      <c r="L118" s="116">
        <v>1.5339800000000001E-4</v>
      </c>
      <c r="M118" s="2">
        <v>13</v>
      </c>
      <c r="N118" s="2">
        <v>68</v>
      </c>
      <c r="O118" s="2">
        <v>143</v>
      </c>
      <c r="P118" s="126">
        <v>4</v>
      </c>
      <c r="Q118" s="106">
        <v>11</v>
      </c>
      <c r="R118" s="127">
        <v>73</v>
      </c>
      <c r="S118" s="2">
        <v>4</v>
      </c>
      <c r="T118" s="2">
        <v>7</v>
      </c>
      <c r="U118" s="127">
        <v>43</v>
      </c>
      <c r="V118" s="2">
        <v>2</v>
      </c>
      <c r="W118" s="2">
        <v>1</v>
      </c>
      <c r="X118" s="109">
        <v>17</v>
      </c>
    </row>
    <row r="119" spans="1:24" x14ac:dyDescent="0.25">
      <c r="C119" s="105"/>
      <c r="D119" s="109"/>
      <c r="E119" s="2"/>
      <c r="F119" s="2"/>
      <c r="G119" s="126"/>
      <c r="H119" s="127"/>
      <c r="I119" s="2"/>
      <c r="J119" s="127"/>
      <c r="K119" s="2"/>
      <c r="L119" s="109"/>
      <c r="M119" s="2"/>
      <c r="N119" s="2"/>
      <c r="O119" s="2"/>
      <c r="P119" s="126"/>
      <c r="Q119" s="106"/>
      <c r="R119" s="127"/>
      <c r="S119" s="2"/>
      <c r="T119" s="2"/>
      <c r="U119" s="127"/>
      <c r="V119" s="2"/>
      <c r="W119" s="2"/>
      <c r="X119" s="109"/>
    </row>
    <row r="120" spans="1:24" x14ac:dyDescent="0.25">
      <c r="A120" t="s">
        <v>1105</v>
      </c>
      <c r="B120">
        <v>20080358</v>
      </c>
      <c r="C120" s="103">
        <v>42294.400000000001</v>
      </c>
      <c r="D120" s="108">
        <v>5107.3999999999996</v>
      </c>
      <c r="E120" s="99">
        <v>2.9151900000000001E-4</v>
      </c>
      <c r="F120" s="99">
        <v>2.5461100000000002E-4</v>
      </c>
      <c r="G120" s="132">
        <v>2.28161E-4</v>
      </c>
      <c r="H120" s="133">
        <v>2.0632100000000001E-4</v>
      </c>
      <c r="I120" s="99">
        <v>2.2799499999999999E-4</v>
      </c>
      <c r="J120" s="133">
        <v>1.97052E-4</v>
      </c>
      <c r="K120" s="99">
        <v>1.9851999999999999E-4</v>
      </c>
      <c r="L120" s="116">
        <v>1.8297699999999999E-4</v>
      </c>
      <c r="M120" s="2">
        <v>52</v>
      </c>
      <c r="N120" s="2">
        <v>17</v>
      </c>
      <c r="O120" s="2">
        <v>47</v>
      </c>
      <c r="P120" s="126">
        <v>1</v>
      </c>
      <c r="Q120" s="106">
        <v>4</v>
      </c>
      <c r="R120" s="127">
        <v>15</v>
      </c>
      <c r="S120" s="2">
        <v>1</v>
      </c>
      <c r="T120" s="2">
        <v>0</v>
      </c>
      <c r="U120" s="127">
        <v>14</v>
      </c>
      <c r="V120" s="2">
        <v>2</v>
      </c>
      <c r="W120" s="2">
        <v>2</v>
      </c>
      <c r="X120" s="109">
        <v>9</v>
      </c>
    </row>
    <row r="121" spans="1:24" x14ac:dyDescent="0.25">
      <c r="B121">
        <v>20090123</v>
      </c>
      <c r="C121" s="103">
        <v>28450.799999999999</v>
      </c>
      <c r="D121" s="108">
        <v>7001.4</v>
      </c>
      <c r="E121" s="99">
        <v>5.7005800000000002E-5</v>
      </c>
      <c r="F121" s="99">
        <v>4.6913899999999998E-5</v>
      </c>
      <c r="G121" s="132">
        <v>5.6286800000000003E-6</v>
      </c>
      <c r="H121" s="133">
        <v>1.9950899999999999E-5</v>
      </c>
      <c r="I121" s="99">
        <v>5.6286800000000003E-6</v>
      </c>
      <c r="J121" s="133">
        <v>1.8197900000000001E-5</v>
      </c>
      <c r="K121" s="99">
        <v>3.55387E-6</v>
      </c>
      <c r="L121" s="116">
        <v>1.2605E-5</v>
      </c>
      <c r="M121" s="2">
        <v>49</v>
      </c>
      <c r="N121" s="2">
        <v>10</v>
      </c>
      <c r="O121" s="2">
        <v>28</v>
      </c>
      <c r="P121" s="126">
        <v>0</v>
      </c>
      <c r="Q121" s="106">
        <v>1</v>
      </c>
      <c r="R121" s="127">
        <v>3</v>
      </c>
      <c r="S121" s="2">
        <v>0</v>
      </c>
      <c r="T121" s="2">
        <v>0</v>
      </c>
      <c r="U121" s="127">
        <v>3</v>
      </c>
      <c r="V121" s="2">
        <v>0</v>
      </c>
      <c r="W121" s="2">
        <v>0</v>
      </c>
      <c r="X121" s="109">
        <v>2</v>
      </c>
    </row>
    <row r="122" spans="1:24" x14ac:dyDescent="0.25">
      <c r="B122">
        <v>20090711</v>
      </c>
      <c r="C122" s="103">
        <v>8032.1</v>
      </c>
      <c r="D122" s="108">
        <v>6386.5</v>
      </c>
      <c r="E122" s="99">
        <v>1.9421E-4</v>
      </c>
      <c r="F122" s="99">
        <v>1.9290999999999999E-4</v>
      </c>
      <c r="G122" s="132">
        <v>1.63649E-4</v>
      </c>
      <c r="H122" s="133">
        <v>1.47336E-4</v>
      </c>
      <c r="I122" s="99">
        <v>1.3789E-4</v>
      </c>
      <c r="J122" s="133">
        <v>1.3086400000000001E-4</v>
      </c>
      <c r="K122" s="99">
        <v>1.2210000000000001E-4</v>
      </c>
      <c r="L122" s="116">
        <v>1.15215E-4</v>
      </c>
      <c r="M122" s="2">
        <v>1</v>
      </c>
      <c r="N122" s="2">
        <v>10</v>
      </c>
      <c r="O122" s="2">
        <v>48</v>
      </c>
      <c r="P122" s="126">
        <v>4</v>
      </c>
      <c r="Q122" s="106">
        <v>0</v>
      </c>
      <c r="R122" s="127">
        <v>18</v>
      </c>
      <c r="S122" s="2">
        <v>2</v>
      </c>
      <c r="T122" s="2">
        <v>1</v>
      </c>
      <c r="U122" s="127">
        <v>10</v>
      </c>
      <c r="V122" s="2">
        <v>1</v>
      </c>
      <c r="W122" s="2">
        <v>0</v>
      </c>
      <c r="X122" s="109">
        <v>7</v>
      </c>
    </row>
    <row r="123" spans="1:24" x14ac:dyDescent="0.25">
      <c r="B123">
        <v>20090892</v>
      </c>
      <c r="C123" s="103">
        <v>14098.4</v>
      </c>
      <c r="D123" s="108">
        <v>6837</v>
      </c>
      <c r="E123" s="99">
        <v>1.0935899999999999E-4</v>
      </c>
      <c r="F123" s="99">
        <v>1.0069999999999999E-4</v>
      </c>
      <c r="G123" s="132">
        <v>6.10224E-5</v>
      </c>
      <c r="H123" s="133">
        <v>5.7444900000000003E-5</v>
      </c>
      <c r="I123" s="99">
        <v>5.1612E-5</v>
      </c>
      <c r="J123" s="133">
        <v>4.3511099999999997E-5</v>
      </c>
      <c r="K123" s="99">
        <v>2.0976500000000002E-5</v>
      </c>
      <c r="L123" s="116">
        <v>2.3764399999999999E-5</v>
      </c>
      <c r="M123" s="2">
        <v>8</v>
      </c>
      <c r="N123" s="2">
        <v>14</v>
      </c>
      <c r="O123" s="2">
        <v>48</v>
      </c>
      <c r="P123" s="126">
        <v>1</v>
      </c>
      <c r="Q123" s="106">
        <v>2</v>
      </c>
      <c r="R123" s="127">
        <v>12</v>
      </c>
      <c r="S123" s="2">
        <v>1</v>
      </c>
      <c r="T123" s="2">
        <v>0</v>
      </c>
      <c r="U123" s="127">
        <v>8</v>
      </c>
      <c r="V123" s="2">
        <v>0</v>
      </c>
      <c r="W123" s="2">
        <v>1</v>
      </c>
      <c r="X123" s="109">
        <v>2</v>
      </c>
    </row>
    <row r="124" spans="1:24" x14ac:dyDescent="0.25">
      <c r="B124">
        <v>20090965</v>
      </c>
      <c r="C124" s="103">
        <v>15407</v>
      </c>
      <c r="D124" s="108">
        <v>7107.1</v>
      </c>
      <c r="E124" s="99">
        <v>8.4289999999999994E-5</v>
      </c>
      <c r="F124" s="99">
        <v>1.05344E-4</v>
      </c>
      <c r="G124" s="132">
        <v>4.84042E-5</v>
      </c>
      <c r="H124" s="133">
        <v>5.8551599999999997E-5</v>
      </c>
      <c r="I124" s="99">
        <v>3.4140899999999997E-5</v>
      </c>
      <c r="J124" s="133">
        <v>4.17756E-5</v>
      </c>
      <c r="K124" s="99">
        <v>2.2874399999999999E-5</v>
      </c>
      <c r="L124" s="116">
        <v>2.8617899999999999E-5</v>
      </c>
      <c r="M124" s="2">
        <v>6</v>
      </c>
      <c r="N124" s="2">
        <v>23</v>
      </c>
      <c r="O124" s="2">
        <v>49</v>
      </c>
      <c r="P124" s="126">
        <v>1</v>
      </c>
      <c r="Q124" s="106">
        <v>2</v>
      </c>
      <c r="R124" s="127">
        <v>11</v>
      </c>
      <c r="S124" s="2">
        <v>1</v>
      </c>
      <c r="T124" s="2">
        <v>2</v>
      </c>
      <c r="U124" s="127">
        <v>3</v>
      </c>
      <c r="V124" s="2">
        <v>0</v>
      </c>
      <c r="W124" s="2">
        <v>0</v>
      </c>
      <c r="X124" s="109">
        <v>2</v>
      </c>
    </row>
    <row r="125" spans="1:24" x14ac:dyDescent="0.25">
      <c r="B125">
        <v>20091068</v>
      </c>
      <c r="C125" s="103">
        <v>18852.599999999999</v>
      </c>
      <c r="D125" s="108">
        <v>6877.3</v>
      </c>
      <c r="E125" s="99">
        <v>1.4331899999999999E-4</v>
      </c>
      <c r="F125" s="99">
        <v>1.5279900000000001E-4</v>
      </c>
      <c r="G125" s="132">
        <v>1.01901E-4</v>
      </c>
      <c r="H125" s="133">
        <v>1.12347E-4</v>
      </c>
      <c r="I125" s="99">
        <v>3.8472500000000001E-5</v>
      </c>
      <c r="J125" s="133">
        <v>6.6286399999999996E-5</v>
      </c>
      <c r="K125" s="99">
        <v>1.6895700000000002E-5</v>
      </c>
      <c r="L125" s="116">
        <v>3.1613499999999998E-5</v>
      </c>
      <c r="M125" s="2">
        <v>12</v>
      </c>
      <c r="N125" s="2">
        <v>18</v>
      </c>
      <c r="O125" s="2">
        <v>58</v>
      </c>
      <c r="P125" s="126">
        <v>4</v>
      </c>
      <c r="Q125" s="106">
        <v>3</v>
      </c>
      <c r="R125" s="127">
        <v>26</v>
      </c>
      <c r="S125" s="2">
        <v>1</v>
      </c>
      <c r="T125" s="2">
        <v>2</v>
      </c>
      <c r="U125" s="127">
        <v>8</v>
      </c>
      <c r="V125" s="2">
        <v>0</v>
      </c>
      <c r="W125" s="2">
        <v>0</v>
      </c>
      <c r="X125" s="109">
        <v>1</v>
      </c>
    </row>
    <row r="126" spans="1:24" x14ac:dyDescent="0.25">
      <c r="B126">
        <v>20091069</v>
      </c>
      <c r="C126" s="103">
        <v>23455.8</v>
      </c>
      <c r="D126" s="108">
        <v>6748.3</v>
      </c>
      <c r="E126" s="99">
        <v>1.01388E-4</v>
      </c>
      <c r="F126" s="99">
        <v>1.13022E-4</v>
      </c>
      <c r="G126" s="132">
        <v>2.57644E-5</v>
      </c>
      <c r="H126" s="133">
        <v>5.0058900000000003E-5</v>
      </c>
      <c r="I126" s="99">
        <v>2.45684E-5</v>
      </c>
      <c r="J126" s="133">
        <v>3.7847299999999999E-5</v>
      </c>
      <c r="K126" s="99">
        <v>2.2649800000000001E-5</v>
      </c>
      <c r="L126" s="116">
        <v>3.1871400000000001E-5</v>
      </c>
      <c r="M126" s="2">
        <v>33</v>
      </c>
      <c r="N126" s="2">
        <v>38</v>
      </c>
      <c r="O126" s="2">
        <v>56</v>
      </c>
      <c r="P126" s="126">
        <v>1</v>
      </c>
      <c r="Q126" s="106">
        <v>8</v>
      </c>
      <c r="R126" s="127">
        <v>5</v>
      </c>
      <c r="S126" s="2">
        <v>0</v>
      </c>
      <c r="T126" s="2">
        <v>0</v>
      </c>
      <c r="U126" s="127">
        <v>4</v>
      </c>
      <c r="V126" s="2">
        <v>0</v>
      </c>
      <c r="W126" s="2">
        <v>0</v>
      </c>
      <c r="X126" s="109">
        <v>2</v>
      </c>
    </row>
    <row r="127" spans="1:24" x14ac:dyDescent="0.25">
      <c r="B127">
        <v>20091094</v>
      </c>
      <c r="C127" s="103">
        <v>15796.5</v>
      </c>
      <c r="D127" s="108">
        <v>5499.3</v>
      </c>
      <c r="E127" s="99">
        <v>6.1899100000000005E-5</v>
      </c>
      <c r="F127" s="99">
        <v>7.3331199999999993E-5</v>
      </c>
      <c r="G127" s="132">
        <v>2.9044099999999999E-5</v>
      </c>
      <c r="H127" s="133">
        <v>3.5602799999999997E-5</v>
      </c>
      <c r="I127" s="99">
        <v>1.2246600000000001E-5</v>
      </c>
      <c r="J127" s="133">
        <v>1.55165E-5</v>
      </c>
      <c r="K127" s="100">
        <v>1.9999999999999999E-7</v>
      </c>
      <c r="L127" s="118">
        <v>1.9999999999999999E-7</v>
      </c>
      <c r="M127" s="2">
        <v>7</v>
      </c>
      <c r="N127" s="2">
        <v>12</v>
      </c>
      <c r="O127" s="2">
        <v>41</v>
      </c>
      <c r="P127" s="126">
        <v>3</v>
      </c>
      <c r="Q127" s="106">
        <v>2</v>
      </c>
      <c r="R127" s="127">
        <v>13</v>
      </c>
      <c r="S127" s="2">
        <v>1</v>
      </c>
      <c r="T127" s="2">
        <v>0</v>
      </c>
      <c r="U127" s="127">
        <v>5</v>
      </c>
      <c r="V127" s="2">
        <v>0</v>
      </c>
      <c r="W127" s="2">
        <v>0</v>
      </c>
      <c r="X127" s="109">
        <v>0</v>
      </c>
    </row>
    <row r="128" spans="1:24" x14ac:dyDescent="0.25">
      <c r="B128">
        <v>20091119</v>
      </c>
      <c r="C128" s="103">
        <v>8999.2000000000007</v>
      </c>
      <c r="D128" s="108">
        <v>4086.4</v>
      </c>
      <c r="E128" s="99">
        <v>1.4287899999999999E-5</v>
      </c>
      <c r="F128" s="99">
        <v>3.1465499999999999E-5</v>
      </c>
      <c r="G128" s="132">
        <v>9.7417500000000004E-6</v>
      </c>
      <c r="H128" s="133">
        <v>1.9022299999999999E-5</v>
      </c>
      <c r="I128" s="99">
        <v>2.8575799999999998E-6</v>
      </c>
      <c r="J128" s="133">
        <v>1.1871100000000001E-5</v>
      </c>
      <c r="K128" s="99">
        <v>2.8575799999999998E-6</v>
      </c>
      <c r="L128" s="116">
        <v>1.1871100000000001E-5</v>
      </c>
      <c r="M128" s="2">
        <v>1</v>
      </c>
      <c r="N128" s="2">
        <v>15</v>
      </c>
      <c r="O128" s="2">
        <v>12</v>
      </c>
      <c r="P128" s="126">
        <v>0</v>
      </c>
      <c r="Q128" s="106">
        <v>9</v>
      </c>
      <c r="R128" s="127">
        <v>9</v>
      </c>
      <c r="S128" s="2">
        <v>0</v>
      </c>
      <c r="T128" s="2">
        <v>9</v>
      </c>
      <c r="U128" s="127">
        <v>7</v>
      </c>
      <c r="V128" s="2">
        <v>0</v>
      </c>
      <c r="W128" s="2">
        <v>9</v>
      </c>
      <c r="X128" s="109">
        <v>7</v>
      </c>
    </row>
    <row r="129" spans="2:24" x14ac:dyDescent="0.25">
      <c r="B129">
        <v>20091973</v>
      </c>
      <c r="C129" s="103">
        <v>10540.1</v>
      </c>
      <c r="D129" s="108">
        <v>6128</v>
      </c>
      <c r="E129" s="99">
        <v>1.2853499999999999E-4</v>
      </c>
      <c r="F129" s="99">
        <v>1.6585699999999999E-4</v>
      </c>
      <c r="G129" s="132">
        <v>1.09072E-4</v>
      </c>
      <c r="H129" s="133">
        <v>1.4353900000000001E-4</v>
      </c>
      <c r="I129" s="99">
        <v>9.6816899999999998E-5</v>
      </c>
      <c r="J129" s="133">
        <v>1.29138E-4</v>
      </c>
      <c r="K129" s="99">
        <v>6.0607599999999999E-5</v>
      </c>
      <c r="L129" s="116">
        <v>7.7349100000000001E-5</v>
      </c>
      <c r="M129" s="2">
        <v>4</v>
      </c>
      <c r="N129" s="2">
        <v>14</v>
      </c>
      <c r="O129" s="2">
        <v>48</v>
      </c>
      <c r="P129" s="126">
        <v>0</v>
      </c>
      <c r="Q129" s="106">
        <v>2</v>
      </c>
      <c r="R129" s="127">
        <v>30</v>
      </c>
      <c r="S129" s="2">
        <v>0</v>
      </c>
      <c r="T129" s="2">
        <v>0</v>
      </c>
      <c r="U129" s="127">
        <v>25</v>
      </c>
      <c r="V129" s="2">
        <v>1</v>
      </c>
      <c r="W129" s="2">
        <v>1</v>
      </c>
      <c r="X129" s="109">
        <v>10</v>
      </c>
    </row>
    <row r="130" spans="2:24" x14ac:dyDescent="0.25">
      <c r="B130">
        <v>20091980</v>
      </c>
      <c r="C130" s="103">
        <v>27296.7</v>
      </c>
      <c r="D130" s="108">
        <v>7187.4</v>
      </c>
      <c r="E130" s="99">
        <v>6.6117699999999999E-5</v>
      </c>
      <c r="F130" s="99">
        <v>8.0097000000000002E-5</v>
      </c>
      <c r="G130" s="132">
        <v>1.9055900000000002E-5</v>
      </c>
      <c r="H130" s="133">
        <v>3.6917800000000001E-5</v>
      </c>
      <c r="I130" s="99">
        <v>1.07484E-5</v>
      </c>
      <c r="J130" s="133">
        <v>7.6437799999999999E-6</v>
      </c>
      <c r="K130" s="100">
        <v>1.9999999999999999E-7</v>
      </c>
      <c r="L130" s="118">
        <v>1.9999999999999999E-7</v>
      </c>
      <c r="M130" s="2">
        <v>12</v>
      </c>
      <c r="N130" s="2">
        <v>13</v>
      </c>
      <c r="O130" s="2">
        <v>51</v>
      </c>
      <c r="P130" s="126">
        <v>0</v>
      </c>
      <c r="Q130" s="106">
        <v>9</v>
      </c>
      <c r="R130" s="127">
        <v>8</v>
      </c>
      <c r="S130" s="2">
        <v>2</v>
      </c>
      <c r="T130" s="2">
        <v>1</v>
      </c>
      <c r="U130" s="127">
        <v>1</v>
      </c>
      <c r="V130" s="2">
        <v>0</v>
      </c>
      <c r="W130" s="2">
        <v>0</v>
      </c>
      <c r="X130" s="109">
        <v>0</v>
      </c>
    </row>
    <row r="131" spans="2:24" x14ac:dyDescent="0.25">
      <c r="B131">
        <v>20091981</v>
      </c>
      <c r="C131" s="103">
        <v>38008.300000000003</v>
      </c>
      <c r="D131" s="108">
        <v>7388.6</v>
      </c>
      <c r="E131" s="99">
        <v>1.01811E-4</v>
      </c>
      <c r="F131" s="99">
        <v>9.7137000000000002E-5</v>
      </c>
      <c r="G131" s="132">
        <v>7.9683499999999997E-5</v>
      </c>
      <c r="H131" s="133">
        <v>8.1000200000000004E-5</v>
      </c>
      <c r="I131" s="99">
        <v>7.9268299999999995E-5</v>
      </c>
      <c r="J131" s="133">
        <v>7.6174999999999995E-5</v>
      </c>
      <c r="K131" s="99">
        <v>7.7761400000000004E-5</v>
      </c>
      <c r="L131" s="116">
        <v>7.4909399999999998E-5</v>
      </c>
      <c r="M131" s="2">
        <v>21</v>
      </c>
      <c r="N131" s="2">
        <v>8</v>
      </c>
      <c r="O131" s="2">
        <v>17</v>
      </c>
      <c r="P131" s="126">
        <v>1</v>
      </c>
      <c r="Q131" s="106">
        <v>2</v>
      </c>
      <c r="R131" s="127">
        <v>2</v>
      </c>
      <c r="S131" s="2">
        <v>1</v>
      </c>
      <c r="T131" s="2">
        <v>1</v>
      </c>
      <c r="U131" s="127">
        <v>1</v>
      </c>
      <c r="V131" s="2">
        <v>0</v>
      </c>
      <c r="W131" s="2">
        <v>0</v>
      </c>
      <c r="X131" s="109">
        <v>1</v>
      </c>
    </row>
    <row r="132" spans="2:24" x14ac:dyDescent="0.25">
      <c r="B132">
        <v>20091983</v>
      </c>
      <c r="C132" s="103">
        <v>11624.9</v>
      </c>
      <c r="D132" s="108">
        <v>6791</v>
      </c>
      <c r="E132" s="99">
        <v>4.1578100000000001E-5</v>
      </c>
      <c r="F132" s="99">
        <v>4.6904399999999998E-5</v>
      </c>
      <c r="G132" s="132">
        <v>2.9361099999999999E-5</v>
      </c>
      <c r="H132" s="133">
        <v>3.1843300000000001E-5</v>
      </c>
      <c r="I132" s="99">
        <v>2.8707499999999999E-5</v>
      </c>
      <c r="J132" s="133">
        <v>2.9089299999999999E-5</v>
      </c>
      <c r="K132" s="99">
        <v>2.5037399999999999E-5</v>
      </c>
      <c r="L132" s="116">
        <v>2.2978800000000001E-5</v>
      </c>
      <c r="M132" s="2">
        <v>2</v>
      </c>
      <c r="N132" s="2">
        <v>7</v>
      </c>
      <c r="O132" s="2">
        <v>16</v>
      </c>
      <c r="P132" s="126">
        <v>0</v>
      </c>
      <c r="Q132" s="106">
        <v>1</v>
      </c>
      <c r="R132" s="127">
        <v>4</v>
      </c>
      <c r="S132" s="2">
        <v>0</v>
      </c>
      <c r="T132" s="2">
        <v>0</v>
      </c>
      <c r="U132" s="127">
        <v>3</v>
      </c>
      <c r="V132" s="2">
        <v>0</v>
      </c>
      <c r="W132" s="2">
        <v>0</v>
      </c>
      <c r="X132" s="109">
        <v>1</v>
      </c>
    </row>
    <row r="133" spans="2:24" x14ac:dyDescent="0.25">
      <c r="B133">
        <v>20092285</v>
      </c>
      <c r="C133" s="103">
        <v>46131.4</v>
      </c>
      <c r="D133" s="108">
        <v>7330.3</v>
      </c>
      <c r="E133" s="99">
        <v>1.4254200000000001E-4</v>
      </c>
      <c r="F133" s="99">
        <v>1.14654E-4</v>
      </c>
      <c r="G133" s="132">
        <v>7.5192399999999995E-5</v>
      </c>
      <c r="H133" s="133">
        <v>5.5652700000000003E-5</v>
      </c>
      <c r="I133" s="99">
        <v>6.1610899999999997E-5</v>
      </c>
      <c r="J133" s="133">
        <v>2.6231700000000002E-5</v>
      </c>
      <c r="K133" s="99">
        <v>5.5466300000000001E-5</v>
      </c>
      <c r="L133" s="118">
        <v>1.9999999999999999E-7</v>
      </c>
      <c r="M133" s="2">
        <v>37</v>
      </c>
      <c r="N133" s="2">
        <v>20</v>
      </c>
      <c r="O133" s="2">
        <v>72</v>
      </c>
      <c r="P133" s="126">
        <v>3</v>
      </c>
      <c r="Q133" s="106">
        <v>7</v>
      </c>
      <c r="R133" s="127">
        <v>16</v>
      </c>
      <c r="S133" s="2">
        <v>3</v>
      </c>
      <c r="T133" s="2">
        <v>6</v>
      </c>
      <c r="U133" s="127">
        <v>3</v>
      </c>
      <c r="V133" s="2">
        <v>1</v>
      </c>
      <c r="W133" s="2">
        <v>0</v>
      </c>
      <c r="X133" s="109">
        <v>0</v>
      </c>
    </row>
    <row r="134" spans="2:24" x14ac:dyDescent="0.25">
      <c r="B134">
        <v>20110089</v>
      </c>
      <c r="C134" s="103">
        <v>18692.3</v>
      </c>
      <c r="D134" s="108">
        <v>7068.3</v>
      </c>
      <c r="E134" s="99">
        <v>4.2313700000000002E-4</v>
      </c>
      <c r="F134" s="99">
        <v>3.5430999999999999E-4</v>
      </c>
      <c r="G134" s="132">
        <v>3.9462200000000002E-4</v>
      </c>
      <c r="H134" s="133">
        <v>3.2098700000000001E-4</v>
      </c>
      <c r="I134" s="99">
        <v>3.8633599999999998E-4</v>
      </c>
      <c r="J134" s="133">
        <v>3.1437199999999999E-4</v>
      </c>
      <c r="K134" s="99">
        <v>3.24708E-4</v>
      </c>
      <c r="L134" s="116">
        <v>2.41361E-4</v>
      </c>
      <c r="M134" s="2">
        <v>9</v>
      </c>
      <c r="N134" s="2">
        <v>12</v>
      </c>
      <c r="O134" s="2">
        <v>58</v>
      </c>
      <c r="P134" s="126">
        <v>3</v>
      </c>
      <c r="Q134" s="106">
        <v>0</v>
      </c>
      <c r="R134" s="127">
        <v>30</v>
      </c>
      <c r="S134" s="2">
        <v>2</v>
      </c>
      <c r="T134" s="2">
        <v>0</v>
      </c>
      <c r="U134" s="127">
        <v>27</v>
      </c>
      <c r="V134" s="2">
        <v>1</v>
      </c>
      <c r="W134" s="2">
        <v>0</v>
      </c>
      <c r="X134" s="109">
        <v>11</v>
      </c>
    </row>
    <row r="135" spans="2:24" x14ac:dyDescent="0.25">
      <c r="B135">
        <v>20110129</v>
      </c>
      <c r="C135" s="103">
        <v>12102</v>
      </c>
      <c r="D135" s="108">
        <v>5558.4</v>
      </c>
      <c r="E135" s="99">
        <v>6.1864800000000004E-5</v>
      </c>
      <c r="F135" s="99">
        <v>7.25523E-5</v>
      </c>
      <c r="G135" s="132">
        <v>2.0911400000000001E-5</v>
      </c>
      <c r="H135" s="133">
        <v>3.6065900000000003E-5</v>
      </c>
      <c r="I135" s="99">
        <v>9.9968900000000001E-6</v>
      </c>
      <c r="J135" s="133">
        <v>1.1250899999999999E-5</v>
      </c>
      <c r="K135" s="99">
        <v>7.2441200000000002E-7</v>
      </c>
      <c r="L135" s="116">
        <v>1.57722E-6</v>
      </c>
      <c r="M135" s="2">
        <v>6</v>
      </c>
      <c r="N135" s="2">
        <v>14</v>
      </c>
      <c r="O135" s="2">
        <v>40</v>
      </c>
      <c r="P135" s="126">
        <v>0</v>
      </c>
      <c r="Q135" s="106">
        <v>2</v>
      </c>
      <c r="R135" s="127">
        <v>15</v>
      </c>
      <c r="S135" s="2">
        <v>1</v>
      </c>
      <c r="T135" s="2">
        <v>0</v>
      </c>
      <c r="U135" s="127">
        <v>4</v>
      </c>
      <c r="V135" s="2">
        <v>0</v>
      </c>
      <c r="W135" s="2">
        <v>0</v>
      </c>
      <c r="X135" s="109">
        <v>1</v>
      </c>
    </row>
    <row r="136" spans="2:24" x14ac:dyDescent="0.25">
      <c r="B136">
        <v>20110216</v>
      </c>
      <c r="C136" s="103">
        <v>4593.1000000000004</v>
      </c>
      <c r="D136" s="108">
        <v>4022.5</v>
      </c>
      <c r="E136" s="99">
        <v>2.7243100000000001E-4</v>
      </c>
      <c r="F136" s="99">
        <v>2.16054E-4</v>
      </c>
      <c r="G136" s="132">
        <v>2.6136099999999999E-4</v>
      </c>
      <c r="H136" s="133">
        <v>1.9440500000000001E-4</v>
      </c>
      <c r="I136" s="99">
        <v>2.5639800000000002E-4</v>
      </c>
      <c r="J136" s="133">
        <v>1.87722E-4</v>
      </c>
      <c r="K136" s="99">
        <v>1.6592700000000001E-4</v>
      </c>
      <c r="L136" s="116">
        <v>1.15655E-4</v>
      </c>
      <c r="M136" s="2">
        <v>7</v>
      </c>
      <c r="N136" s="2">
        <v>10</v>
      </c>
      <c r="O136" s="2">
        <v>37</v>
      </c>
      <c r="P136" s="126">
        <v>8</v>
      </c>
      <c r="Q136" s="106">
        <v>0</v>
      </c>
      <c r="R136" s="127">
        <v>31</v>
      </c>
      <c r="S136" s="2">
        <v>8</v>
      </c>
      <c r="T136" s="2">
        <v>0</v>
      </c>
      <c r="U136" s="127">
        <v>29</v>
      </c>
      <c r="V136" s="2">
        <v>7</v>
      </c>
      <c r="W136" s="2">
        <v>2</v>
      </c>
      <c r="X136" s="109">
        <v>16</v>
      </c>
    </row>
    <row r="137" spans="2:24" x14ac:dyDescent="0.25">
      <c r="B137">
        <v>20120513</v>
      </c>
      <c r="C137" s="103">
        <v>21111.8</v>
      </c>
      <c r="D137" s="108">
        <v>7268</v>
      </c>
      <c r="E137" s="99">
        <v>1.90602E-4</v>
      </c>
      <c r="F137" s="99">
        <v>3.4377499999999999E-4</v>
      </c>
      <c r="G137" s="132">
        <v>1.55721E-4</v>
      </c>
      <c r="H137" s="133">
        <v>3.0147600000000001E-4</v>
      </c>
      <c r="I137" s="99">
        <v>1.5500099999999999E-4</v>
      </c>
      <c r="J137" s="133">
        <v>2.9415799999999998E-4</v>
      </c>
      <c r="K137" s="99">
        <v>1.5270299999999999E-4</v>
      </c>
      <c r="L137" s="116">
        <v>2.8820799999999998E-4</v>
      </c>
      <c r="M137" s="2">
        <v>17</v>
      </c>
      <c r="N137" s="2">
        <v>29</v>
      </c>
      <c r="O137" s="2">
        <v>39</v>
      </c>
      <c r="P137" s="126">
        <v>0</v>
      </c>
      <c r="Q137" s="106">
        <v>3</v>
      </c>
      <c r="R137" s="127">
        <v>4</v>
      </c>
      <c r="S137" s="2">
        <v>0</v>
      </c>
      <c r="T137" s="2">
        <v>0</v>
      </c>
      <c r="U137" s="127">
        <v>3</v>
      </c>
      <c r="V137" s="2">
        <v>0</v>
      </c>
      <c r="W137" s="2">
        <v>0</v>
      </c>
      <c r="X137" s="109">
        <v>1</v>
      </c>
    </row>
    <row r="138" spans="2:24" x14ac:dyDescent="0.25">
      <c r="B138">
        <v>20120642</v>
      </c>
      <c r="C138" s="103">
        <v>23804.400000000001</v>
      </c>
      <c r="D138" s="108">
        <v>7403.8</v>
      </c>
      <c r="E138" s="99">
        <v>2.1286800000000001E-5</v>
      </c>
      <c r="F138" s="99">
        <v>1.96561E-5</v>
      </c>
      <c r="G138" s="132">
        <v>3.6582899999999999E-6</v>
      </c>
      <c r="H138" s="133">
        <v>5.2100400000000003E-6</v>
      </c>
      <c r="I138" s="99">
        <v>3.6582899999999999E-6</v>
      </c>
      <c r="J138" s="133">
        <v>5.2100400000000003E-6</v>
      </c>
      <c r="K138" s="100">
        <v>1.9999999999999999E-7</v>
      </c>
      <c r="L138" s="118">
        <v>1.9999999999999999E-7</v>
      </c>
      <c r="M138" s="2">
        <v>16</v>
      </c>
      <c r="N138" s="2">
        <v>5</v>
      </c>
      <c r="O138" s="2">
        <v>16</v>
      </c>
      <c r="P138" s="126">
        <v>0</v>
      </c>
      <c r="Q138" s="106">
        <v>0</v>
      </c>
      <c r="R138" s="127">
        <v>1</v>
      </c>
      <c r="S138" s="2">
        <v>0</v>
      </c>
      <c r="T138" s="2">
        <v>0</v>
      </c>
      <c r="U138" s="127">
        <v>1</v>
      </c>
      <c r="V138" s="2">
        <v>0</v>
      </c>
      <c r="W138" s="2">
        <v>0</v>
      </c>
      <c r="X138" s="109">
        <v>0</v>
      </c>
    </row>
    <row r="139" spans="2:24" x14ac:dyDescent="0.25">
      <c r="B139">
        <v>20120647</v>
      </c>
      <c r="C139" s="103">
        <v>14005.3</v>
      </c>
      <c r="D139" s="108">
        <v>7062.7</v>
      </c>
      <c r="E139" s="99">
        <v>1.66255E-4</v>
      </c>
      <c r="F139" s="99">
        <v>1.7700600000000001E-4</v>
      </c>
      <c r="G139" s="132">
        <v>1.22063E-4</v>
      </c>
      <c r="H139" s="133">
        <v>1.3157500000000001E-4</v>
      </c>
      <c r="I139" s="99">
        <v>1.08917E-4</v>
      </c>
      <c r="J139" s="133">
        <v>1.1295599999999999E-4</v>
      </c>
      <c r="K139" s="99">
        <v>5.7421599999999999E-5</v>
      </c>
      <c r="L139" s="116">
        <v>6.4712E-5</v>
      </c>
      <c r="M139" s="2">
        <v>8</v>
      </c>
      <c r="N139" s="2">
        <v>21</v>
      </c>
      <c r="O139" s="2">
        <v>61</v>
      </c>
      <c r="P139" s="126">
        <v>0</v>
      </c>
      <c r="Q139" s="106">
        <v>2</v>
      </c>
      <c r="R139" s="127">
        <v>22</v>
      </c>
      <c r="S139" s="2">
        <v>1</v>
      </c>
      <c r="T139" s="2">
        <v>0</v>
      </c>
      <c r="U139" s="127">
        <v>15</v>
      </c>
      <c r="V139" s="2">
        <v>0</v>
      </c>
      <c r="W139" s="2">
        <v>0</v>
      </c>
      <c r="X139" s="109">
        <v>5</v>
      </c>
    </row>
    <row r="140" spans="2:24" x14ac:dyDescent="0.25">
      <c r="B140">
        <v>20120850</v>
      </c>
      <c r="C140" s="103">
        <v>23017.200000000001</v>
      </c>
      <c r="D140" s="108">
        <v>7179.8</v>
      </c>
      <c r="E140" s="99">
        <v>7.1605400000000004E-5</v>
      </c>
      <c r="F140" s="99">
        <v>7.9693500000000005E-5</v>
      </c>
      <c r="G140" s="132">
        <v>3.7834099999999999E-6</v>
      </c>
      <c r="H140" s="133">
        <v>1.1314999999999999E-5</v>
      </c>
      <c r="I140" s="100">
        <v>1.9999999999999999E-7</v>
      </c>
      <c r="J140" s="133">
        <v>7.3262700000000001E-6</v>
      </c>
      <c r="K140" s="100">
        <v>1.9999999999999999E-7</v>
      </c>
      <c r="L140" s="118">
        <v>1.9999999999999999E-7</v>
      </c>
      <c r="M140" s="2">
        <v>19</v>
      </c>
      <c r="N140" s="2">
        <v>27</v>
      </c>
      <c r="O140" s="2">
        <v>66</v>
      </c>
      <c r="P140" s="126">
        <v>0</v>
      </c>
      <c r="Q140" s="106">
        <v>1</v>
      </c>
      <c r="R140" s="127">
        <v>3</v>
      </c>
      <c r="S140" s="2">
        <v>0</v>
      </c>
      <c r="T140" s="2">
        <v>2</v>
      </c>
      <c r="U140" s="127">
        <v>0</v>
      </c>
      <c r="V140" s="2">
        <v>0</v>
      </c>
      <c r="W140" s="2">
        <v>0</v>
      </c>
      <c r="X140" s="109">
        <v>0</v>
      </c>
    </row>
    <row r="141" spans="2:24" x14ac:dyDescent="0.25">
      <c r="B141">
        <v>20120884</v>
      </c>
      <c r="C141" s="103">
        <v>7431.9</v>
      </c>
      <c r="D141" s="108">
        <v>3975.5</v>
      </c>
      <c r="E141" s="99">
        <v>9.70434E-5</v>
      </c>
      <c r="F141" s="99">
        <v>1.0408600000000001E-4</v>
      </c>
      <c r="G141" s="132">
        <v>7.1563599999999994E-5</v>
      </c>
      <c r="H141" s="133">
        <v>7.7476600000000003E-5</v>
      </c>
      <c r="I141" s="99">
        <v>6.2755800000000007E-5</v>
      </c>
      <c r="J141" s="133">
        <v>7.1302000000000003E-5</v>
      </c>
      <c r="K141" s="99">
        <v>4.9858599999999997E-5</v>
      </c>
      <c r="L141" s="116">
        <v>5.8511799999999998E-5</v>
      </c>
      <c r="M141" s="2">
        <v>3</v>
      </c>
      <c r="N141" s="2">
        <v>15</v>
      </c>
      <c r="O141" s="2">
        <v>23</v>
      </c>
      <c r="P141" s="126">
        <v>2</v>
      </c>
      <c r="Q141" s="106">
        <v>12</v>
      </c>
      <c r="R141" s="127">
        <v>9</v>
      </c>
      <c r="S141" s="2">
        <v>0</v>
      </c>
      <c r="T141" s="2">
        <v>10</v>
      </c>
      <c r="U141" s="127">
        <v>9</v>
      </c>
      <c r="V141" s="2">
        <v>0</v>
      </c>
      <c r="W141" s="2">
        <v>10</v>
      </c>
      <c r="X141" s="109">
        <v>7</v>
      </c>
    </row>
    <row r="142" spans="2:24" x14ac:dyDescent="0.25">
      <c r="B142">
        <v>20120907</v>
      </c>
      <c r="C142" s="103">
        <v>12285.1</v>
      </c>
      <c r="D142" s="108">
        <v>6921.8</v>
      </c>
      <c r="E142" s="99">
        <v>7.1836999999999997E-5</v>
      </c>
      <c r="F142" s="99">
        <v>8.5028E-5</v>
      </c>
      <c r="G142" s="132">
        <v>4.2483700000000001E-5</v>
      </c>
      <c r="H142" s="133">
        <v>4.4329400000000003E-5</v>
      </c>
      <c r="I142" s="99">
        <v>1.34159E-5</v>
      </c>
      <c r="J142" s="133">
        <v>1.4945300000000001E-5</v>
      </c>
      <c r="K142" s="99">
        <v>2.6165799999999999E-6</v>
      </c>
      <c r="L142" s="116">
        <v>3.8840999999999998E-6</v>
      </c>
      <c r="M142" s="2">
        <v>3</v>
      </c>
      <c r="N142" s="2">
        <v>19</v>
      </c>
      <c r="O142" s="2">
        <v>43</v>
      </c>
      <c r="P142" s="126">
        <v>3</v>
      </c>
      <c r="Q142" s="106">
        <v>0</v>
      </c>
      <c r="R142" s="127">
        <v>17</v>
      </c>
      <c r="S142" s="2">
        <v>0</v>
      </c>
      <c r="T142" s="2">
        <v>0</v>
      </c>
      <c r="U142" s="127">
        <v>4</v>
      </c>
      <c r="V142" s="2">
        <v>0</v>
      </c>
      <c r="W142" s="2">
        <v>0</v>
      </c>
      <c r="X142" s="109">
        <v>1</v>
      </c>
    </row>
    <row r="143" spans="2:24" x14ac:dyDescent="0.25">
      <c r="B143">
        <v>20120924</v>
      </c>
      <c r="C143" s="103">
        <v>3507.4</v>
      </c>
      <c r="D143" s="108">
        <v>3485.8</v>
      </c>
      <c r="E143" s="99">
        <v>6.49871E-6</v>
      </c>
      <c r="F143" s="99">
        <v>2.16293E-5</v>
      </c>
      <c r="G143" s="134">
        <v>1.9999999999999999E-7</v>
      </c>
      <c r="H143" s="133">
        <v>6.7067599999999996E-7</v>
      </c>
      <c r="I143" s="100">
        <v>1.9999999999999999E-7</v>
      </c>
      <c r="J143" s="135">
        <v>1.9999999999999999E-7</v>
      </c>
      <c r="K143" s="100">
        <v>1.9999999999999999E-7</v>
      </c>
      <c r="L143" s="118">
        <v>1.9999999999999999E-7</v>
      </c>
      <c r="M143" s="2">
        <v>0</v>
      </c>
      <c r="N143" s="2">
        <v>16</v>
      </c>
      <c r="O143" s="2">
        <v>3</v>
      </c>
      <c r="P143" s="126">
        <v>0</v>
      </c>
      <c r="Q143" s="106">
        <v>1</v>
      </c>
      <c r="R143" s="127">
        <v>0</v>
      </c>
      <c r="S143" s="2">
        <v>0</v>
      </c>
      <c r="T143" s="2">
        <v>0</v>
      </c>
      <c r="U143" s="127">
        <v>0</v>
      </c>
      <c r="V143" s="2">
        <v>0</v>
      </c>
      <c r="W143" s="2">
        <v>0</v>
      </c>
      <c r="X143" s="109">
        <v>0</v>
      </c>
    </row>
    <row r="144" spans="2:24" x14ac:dyDescent="0.25">
      <c r="B144">
        <v>20120992</v>
      </c>
      <c r="C144" s="103">
        <v>7423.8</v>
      </c>
      <c r="D144" s="108">
        <v>5748.8</v>
      </c>
      <c r="E144" s="99">
        <v>2.04689E-5</v>
      </c>
      <c r="F144" s="99">
        <v>3.2126399999999998E-5</v>
      </c>
      <c r="G144" s="132">
        <v>5.9832300000000001E-6</v>
      </c>
      <c r="H144" s="133">
        <v>3.3549799999999999E-6</v>
      </c>
      <c r="I144" s="100">
        <v>1.9999999999999999E-7</v>
      </c>
      <c r="J144" s="135">
        <v>1.9999999999999999E-7</v>
      </c>
      <c r="K144" s="100">
        <v>1.9999999999999999E-7</v>
      </c>
      <c r="L144" s="118">
        <v>1.9999999999999999E-7</v>
      </c>
      <c r="M144" s="2">
        <v>2</v>
      </c>
      <c r="N144" s="2">
        <v>26</v>
      </c>
      <c r="O144" s="2">
        <v>13</v>
      </c>
      <c r="P144" s="126">
        <v>2</v>
      </c>
      <c r="Q144" s="106">
        <v>1</v>
      </c>
      <c r="R144" s="127">
        <v>2</v>
      </c>
      <c r="S144" s="2">
        <v>0</v>
      </c>
      <c r="T144" s="2">
        <v>0</v>
      </c>
      <c r="U144" s="127">
        <v>0</v>
      </c>
      <c r="V144" s="2">
        <v>0</v>
      </c>
      <c r="W144" s="2">
        <v>0</v>
      </c>
      <c r="X144" s="109">
        <v>0</v>
      </c>
    </row>
    <row r="145" spans="1:24" x14ac:dyDescent="0.25">
      <c r="B145">
        <v>20121009</v>
      </c>
      <c r="C145" s="103">
        <v>64626.6</v>
      </c>
      <c r="D145" s="108">
        <v>7492.4</v>
      </c>
      <c r="E145" s="99">
        <v>9.0091899999999997E-5</v>
      </c>
      <c r="F145" s="99">
        <v>7.6679699999999997E-5</v>
      </c>
      <c r="G145" s="132">
        <v>4.1148199999999997E-6</v>
      </c>
      <c r="H145" s="133">
        <v>1.82534E-5</v>
      </c>
      <c r="I145" s="100">
        <v>1.9999999999999999E-7</v>
      </c>
      <c r="J145" s="133">
        <v>8.0345999999999993E-6</v>
      </c>
      <c r="K145" s="100">
        <v>1.9999999999999999E-7</v>
      </c>
      <c r="L145" s="118">
        <v>1.9999999999999999E-7</v>
      </c>
      <c r="M145" s="2">
        <v>94</v>
      </c>
      <c r="N145" s="2">
        <v>16</v>
      </c>
      <c r="O145" s="2">
        <v>77</v>
      </c>
      <c r="P145" s="126">
        <v>1</v>
      </c>
      <c r="Q145" s="106">
        <v>7</v>
      </c>
      <c r="R145" s="127">
        <v>2</v>
      </c>
      <c r="S145" s="2">
        <v>0</v>
      </c>
      <c r="T145" s="2">
        <v>4</v>
      </c>
      <c r="U145" s="127">
        <v>0</v>
      </c>
      <c r="V145" s="2">
        <v>0</v>
      </c>
      <c r="W145" s="2">
        <v>0</v>
      </c>
      <c r="X145" s="109">
        <v>0</v>
      </c>
    </row>
    <row r="146" spans="1:24" x14ac:dyDescent="0.25">
      <c r="B146">
        <v>20121026</v>
      </c>
      <c r="C146" s="103">
        <v>9939.2000000000007</v>
      </c>
      <c r="D146" s="108">
        <v>6715</v>
      </c>
      <c r="E146" s="99">
        <v>1.00553E-4</v>
      </c>
      <c r="F146" s="99">
        <v>1.13931E-4</v>
      </c>
      <c r="G146" s="132">
        <v>7.4738299999999996E-5</v>
      </c>
      <c r="H146" s="133">
        <v>8.5295699999999997E-5</v>
      </c>
      <c r="I146" s="99">
        <v>5.5215800000000001E-5</v>
      </c>
      <c r="J146" s="133">
        <v>6.7366200000000006E-5</v>
      </c>
      <c r="K146" s="99">
        <v>7.1151300000000003E-6</v>
      </c>
      <c r="L146" s="116">
        <v>1.01833E-5</v>
      </c>
      <c r="M146" s="2">
        <v>2</v>
      </c>
      <c r="N146" s="2">
        <v>15</v>
      </c>
      <c r="O146" s="2">
        <v>45</v>
      </c>
      <c r="P146" s="126">
        <v>1</v>
      </c>
      <c r="Q146" s="106">
        <v>1</v>
      </c>
      <c r="R146" s="127">
        <v>24</v>
      </c>
      <c r="S146" s="2">
        <v>0</v>
      </c>
      <c r="T146" s="2">
        <v>0</v>
      </c>
      <c r="U146" s="127">
        <v>17</v>
      </c>
      <c r="V146" s="2">
        <v>0</v>
      </c>
      <c r="W146" s="2">
        <v>0</v>
      </c>
      <c r="X146" s="109">
        <v>2</v>
      </c>
    </row>
    <row r="147" spans="1:24" x14ac:dyDescent="0.25">
      <c r="B147">
        <v>20121040</v>
      </c>
      <c r="C147" s="103">
        <v>4491.7</v>
      </c>
      <c r="D147" s="108">
        <v>3788.2</v>
      </c>
      <c r="E147" s="99">
        <v>3.0317699999999999E-5</v>
      </c>
      <c r="F147" s="99">
        <v>5.7392400000000003E-5</v>
      </c>
      <c r="G147" s="132">
        <v>2.35515E-5</v>
      </c>
      <c r="H147" s="133">
        <v>3.2398899999999999E-5</v>
      </c>
      <c r="I147" s="99">
        <v>2.23804E-5</v>
      </c>
      <c r="J147" s="133">
        <v>2.9159E-5</v>
      </c>
      <c r="K147" s="99">
        <v>1.9387700000000001E-5</v>
      </c>
      <c r="L147" s="116">
        <v>2.2679300000000002E-5</v>
      </c>
      <c r="M147" s="2">
        <v>0</v>
      </c>
      <c r="N147" s="2">
        <v>24</v>
      </c>
      <c r="O147" s="2">
        <v>16</v>
      </c>
      <c r="P147" s="126">
        <v>0</v>
      </c>
      <c r="Q147" s="106">
        <v>8</v>
      </c>
      <c r="R147" s="127">
        <v>12</v>
      </c>
      <c r="S147" s="2">
        <v>0</v>
      </c>
      <c r="T147" s="2">
        <v>5</v>
      </c>
      <c r="U147" s="127">
        <v>11</v>
      </c>
      <c r="V147" s="2">
        <v>0</v>
      </c>
      <c r="W147" s="2">
        <v>0</v>
      </c>
      <c r="X147" s="109">
        <v>9</v>
      </c>
    </row>
    <row r="148" spans="1:24" x14ac:dyDescent="0.25">
      <c r="B148">
        <v>20121047</v>
      </c>
      <c r="C148" s="103">
        <v>11700.2</v>
      </c>
      <c r="D148" s="108">
        <v>6839.8</v>
      </c>
      <c r="E148" s="99">
        <v>8.5668199999999994E-5</v>
      </c>
      <c r="F148" s="99">
        <v>8.8098399999999997E-5</v>
      </c>
      <c r="G148" s="132">
        <v>6.5887099999999995E-5</v>
      </c>
      <c r="H148" s="133">
        <v>5.3405900000000003E-5</v>
      </c>
      <c r="I148" s="99">
        <v>6.4788200000000004E-5</v>
      </c>
      <c r="J148" s="133">
        <v>5.3405900000000003E-5</v>
      </c>
      <c r="K148" s="99">
        <v>2.3577499999999999E-5</v>
      </c>
      <c r="L148" s="116">
        <v>1.2731999999999999E-5</v>
      </c>
      <c r="M148" s="2">
        <v>4</v>
      </c>
      <c r="N148" s="2">
        <v>30</v>
      </c>
      <c r="O148" s="2">
        <v>27</v>
      </c>
      <c r="P148" s="126">
        <v>2</v>
      </c>
      <c r="Q148" s="106">
        <v>0</v>
      </c>
      <c r="R148" s="127">
        <v>10</v>
      </c>
      <c r="S148" s="2">
        <v>1</v>
      </c>
      <c r="T148" s="2">
        <v>0</v>
      </c>
      <c r="U148" s="127">
        <v>10</v>
      </c>
      <c r="V148" s="2">
        <v>1</v>
      </c>
      <c r="W148" s="2">
        <v>0</v>
      </c>
      <c r="X148" s="109">
        <v>2</v>
      </c>
    </row>
    <row r="149" spans="1:24" x14ac:dyDescent="0.25">
      <c r="B149">
        <v>20121105</v>
      </c>
      <c r="C149" s="103">
        <v>12269.7</v>
      </c>
      <c r="D149" s="108">
        <v>6986</v>
      </c>
      <c r="E149" s="99">
        <v>7.1784200000000003E-5</v>
      </c>
      <c r="F149" s="99">
        <v>9.0855599999999998E-5</v>
      </c>
      <c r="G149" s="132">
        <v>2.1197100000000001E-5</v>
      </c>
      <c r="H149" s="133">
        <v>2.50982E-5</v>
      </c>
      <c r="I149" s="99">
        <v>1.4671199999999999E-5</v>
      </c>
      <c r="J149" s="133">
        <v>1.5309900000000001E-5</v>
      </c>
      <c r="K149" s="99">
        <v>5.8589599999999999E-6</v>
      </c>
      <c r="L149" s="116">
        <v>7.4458099999999998E-6</v>
      </c>
      <c r="M149" s="2">
        <v>1</v>
      </c>
      <c r="N149" s="2">
        <v>29</v>
      </c>
      <c r="O149" s="2">
        <v>50</v>
      </c>
      <c r="P149" s="126">
        <v>0</v>
      </c>
      <c r="Q149" s="106">
        <v>0</v>
      </c>
      <c r="R149" s="127">
        <v>7</v>
      </c>
      <c r="S149" s="2">
        <v>1</v>
      </c>
      <c r="T149" s="2">
        <v>0</v>
      </c>
      <c r="U149" s="127">
        <v>3</v>
      </c>
      <c r="V149" s="2">
        <v>0</v>
      </c>
      <c r="W149" s="2">
        <v>0</v>
      </c>
      <c r="X149" s="109">
        <v>1</v>
      </c>
    </row>
    <row r="150" spans="1:24" x14ac:dyDescent="0.25">
      <c r="B150">
        <v>20121116</v>
      </c>
      <c r="C150" s="103">
        <v>13003.7</v>
      </c>
      <c r="D150" s="108">
        <v>5084</v>
      </c>
      <c r="E150" s="99">
        <v>3.4517899999999997E-5</v>
      </c>
      <c r="F150" s="99">
        <v>4.6673099999999999E-5</v>
      </c>
      <c r="G150" s="132">
        <v>8.3598000000000008E-6</v>
      </c>
      <c r="H150" s="133">
        <v>1.96579E-5</v>
      </c>
      <c r="I150" s="99">
        <v>5.7529800000000001E-6</v>
      </c>
      <c r="J150" s="133">
        <v>1.45997E-5</v>
      </c>
      <c r="K150" s="99">
        <v>5.7529800000000001E-6</v>
      </c>
      <c r="L150" s="116">
        <v>1.45997E-5</v>
      </c>
      <c r="M150" s="2">
        <v>10</v>
      </c>
      <c r="N150" s="2">
        <v>15</v>
      </c>
      <c r="O150" s="2">
        <v>22</v>
      </c>
      <c r="P150" s="126">
        <v>0</v>
      </c>
      <c r="Q150" s="106">
        <v>0</v>
      </c>
      <c r="R150" s="127">
        <v>5</v>
      </c>
      <c r="S150" s="2">
        <v>0</v>
      </c>
      <c r="T150" s="2">
        <v>0</v>
      </c>
      <c r="U150" s="127">
        <v>2</v>
      </c>
      <c r="V150" s="2">
        <v>0</v>
      </c>
      <c r="W150" s="2">
        <v>0</v>
      </c>
      <c r="X150" s="109">
        <v>2</v>
      </c>
    </row>
    <row r="151" spans="1:24" x14ac:dyDescent="0.25">
      <c r="B151">
        <v>20121156</v>
      </c>
      <c r="C151" s="103">
        <v>3159</v>
      </c>
      <c r="D151" s="108">
        <v>3020.5</v>
      </c>
      <c r="E151" s="99">
        <v>2.1461400000000001E-5</v>
      </c>
      <c r="F151" s="99">
        <v>3.9279700000000003E-5</v>
      </c>
      <c r="G151" s="132">
        <v>7.95552E-6</v>
      </c>
      <c r="H151" s="133">
        <v>8.3203299999999993E-6</v>
      </c>
      <c r="I151" s="99">
        <v>7.95552E-6</v>
      </c>
      <c r="J151" s="133">
        <v>8.3203299999999993E-6</v>
      </c>
      <c r="K151" s="99">
        <v>4.9953299999999998E-6</v>
      </c>
      <c r="L151" s="116">
        <v>5.2243899999999996E-6</v>
      </c>
      <c r="M151" s="2">
        <v>0</v>
      </c>
      <c r="N151" s="2">
        <v>18</v>
      </c>
      <c r="O151" s="2">
        <v>8</v>
      </c>
      <c r="P151" s="126">
        <v>0</v>
      </c>
      <c r="Q151" s="106">
        <v>0</v>
      </c>
      <c r="R151" s="127">
        <v>2</v>
      </c>
      <c r="S151" s="2">
        <v>0</v>
      </c>
      <c r="T151" s="2">
        <v>0</v>
      </c>
      <c r="U151" s="127">
        <v>2</v>
      </c>
      <c r="V151" s="2">
        <v>0</v>
      </c>
      <c r="W151" s="2">
        <v>0</v>
      </c>
      <c r="X151" s="109">
        <v>1</v>
      </c>
    </row>
    <row r="152" spans="1:24" x14ac:dyDescent="0.25">
      <c r="B152">
        <v>20121201</v>
      </c>
      <c r="C152" s="103">
        <v>6552.6</v>
      </c>
      <c r="D152" s="108">
        <v>4095.1</v>
      </c>
      <c r="E152" s="99">
        <v>1.5278899999999999E-4</v>
      </c>
      <c r="F152" s="99">
        <v>1.3986599999999999E-4</v>
      </c>
      <c r="G152" s="132">
        <v>1.3726999999999999E-4</v>
      </c>
      <c r="H152" s="133">
        <v>1.10751E-4</v>
      </c>
      <c r="I152" s="99">
        <v>1.3102599999999999E-4</v>
      </c>
      <c r="J152" s="133">
        <v>1.02045E-4</v>
      </c>
      <c r="K152" s="99">
        <v>1.16042E-4</v>
      </c>
      <c r="L152" s="116">
        <v>8.6631499999999999E-5</v>
      </c>
      <c r="M152" s="2">
        <v>0</v>
      </c>
      <c r="N152" s="2">
        <v>15</v>
      </c>
      <c r="O152" s="2">
        <v>23</v>
      </c>
      <c r="P152" s="126">
        <v>0</v>
      </c>
      <c r="Q152" s="106">
        <v>0</v>
      </c>
      <c r="R152" s="127">
        <v>14</v>
      </c>
      <c r="S152" s="2">
        <v>0</v>
      </c>
      <c r="T152" s="2">
        <v>0</v>
      </c>
      <c r="U152" s="127">
        <v>11</v>
      </c>
      <c r="V152" s="2">
        <v>0</v>
      </c>
      <c r="W152" s="2">
        <v>0</v>
      </c>
      <c r="X152" s="109">
        <v>7</v>
      </c>
    </row>
    <row r="153" spans="1:24" x14ac:dyDescent="0.25">
      <c r="B153">
        <v>20121208</v>
      </c>
      <c r="C153" s="103">
        <v>9253.9</v>
      </c>
      <c r="D153" s="108">
        <v>6505.8</v>
      </c>
      <c r="E153" s="99">
        <v>1.0610499999999999E-5</v>
      </c>
      <c r="F153" s="99">
        <v>1.94044E-5</v>
      </c>
      <c r="G153" s="137">
        <v>5.0526100000000004E-7</v>
      </c>
      <c r="H153" s="133">
        <v>1.16786E-6</v>
      </c>
      <c r="I153" s="100">
        <v>1.9999999999999999E-7</v>
      </c>
      <c r="J153" s="135">
        <v>1.9999999999999999E-7</v>
      </c>
      <c r="K153" s="100">
        <v>1.9999999999999999E-7</v>
      </c>
      <c r="L153" s="118">
        <v>1.9999999999999999E-7</v>
      </c>
      <c r="M153" s="2">
        <v>1</v>
      </c>
      <c r="N153" s="2">
        <v>15</v>
      </c>
      <c r="O153" s="2">
        <v>11</v>
      </c>
      <c r="P153" s="126">
        <v>0</v>
      </c>
      <c r="Q153" s="106">
        <v>1</v>
      </c>
      <c r="R153" s="127">
        <v>1</v>
      </c>
      <c r="S153" s="2">
        <v>0</v>
      </c>
      <c r="T153" s="2">
        <v>0</v>
      </c>
      <c r="U153" s="127">
        <v>0</v>
      </c>
      <c r="V153" s="2">
        <v>0</v>
      </c>
      <c r="W153" s="2">
        <v>0</v>
      </c>
      <c r="X153" s="109">
        <v>0</v>
      </c>
    </row>
    <row r="154" spans="1:24" x14ac:dyDescent="0.25">
      <c r="B154">
        <v>20121380</v>
      </c>
      <c r="C154" s="103">
        <v>2314.5</v>
      </c>
      <c r="D154" s="108">
        <v>2301.1</v>
      </c>
      <c r="E154" s="99">
        <v>9.2925500000000003E-4</v>
      </c>
      <c r="F154" s="99">
        <v>1.0108899999999999E-4</v>
      </c>
      <c r="G154" s="132">
        <v>9.1006400000000003E-4</v>
      </c>
      <c r="H154" s="133">
        <v>6.6799999999999997E-5</v>
      </c>
      <c r="I154" s="99">
        <v>8.9314500000000003E-4</v>
      </c>
      <c r="J154" s="133">
        <v>5.0036500000000001E-5</v>
      </c>
      <c r="K154" s="99">
        <v>8.6208599999999997E-4</v>
      </c>
      <c r="L154" s="116">
        <v>2.1335399999999999E-5</v>
      </c>
      <c r="M154" s="2">
        <v>3</v>
      </c>
      <c r="N154" s="2">
        <v>34</v>
      </c>
      <c r="O154" s="2">
        <v>17</v>
      </c>
      <c r="P154" s="126">
        <v>3</v>
      </c>
      <c r="Q154" s="106">
        <v>22</v>
      </c>
      <c r="R154" s="127">
        <v>10</v>
      </c>
      <c r="S154" s="2">
        <v>3</v>
      </c>
      <c r="T154" s="2">
        <v>22</v>
      </c>
      <c r="U154" s="127">
        <v>6</v>
      </c>
      <c r="V154" s="2">
        <v>2</v>
      </c>
      <c r="W154" s="2">
        <v>21</v>
      </c>
      <c r="X154" s="109">
        <v>1</v>
      </c>
    </row>
    <row r="155" spans="1:24" x14ac:dyDescent="0.25">
      <c r="C155" s="105"/>
      <c r="D155" s="109"/>
      <c r="E155" s="2"/>
      <c r="F155" s="2"/>
      <c r="G155" s="126"/>
      <c r="H155" s="127"/>
      <c r="I155" s="2"/>
      <c r="J155" s="127"/>
      <c r="K155" s="2"/>
      <c r="L155" s="109"/>
      <c r="M155" s="2"/>
      <c r="N155" s="2"/>
      <c r="O155" s="2"/>
      <c r="P155" s="126"/>
      <c r="Q155" s="106"/>
      <c r="R155" s="127"/>
      <c r="S155" s="2"/>
      <c r="T155" s="2"/>
      <c r="U155" s="127"/>
      <c r="V155" s="2"/>
      <c r="W155" s="2"/>
      <c r="X155" s="109"/>
    </row>
    <row r="156" spans="1:24" x14ac:dyDescent="0.25">
      <c r="A156" t="s">
        <v>1106</v>
      </c>
      <c r="B156">
        <v>20080358</v>
      </c>
      <c r="C156" s="103">
        <v>17359.2</v>
      </c>
      <c r="D156" s="108">
        <v>6969.2</v>
      </c>
      <c r="E156" s="99">
        <v>7.0908900000000001E-5</v>
      </c>
      <c r="F156" s="99">
        <v>8.7207500000000001E-5</v>
      </c>
      <c r="G156" s="132">
        <v>2.0320299999999999E-5</v>
      </c>
      <c r="H156" s="133">
        <v>3.6208399999999997E-5</v>
      </c>
      <c r="I156" s="99">
        <v>1.43052E-5</v>
      </c>
      <c r="J156" s="133">
        <v>2.4779200000000002E-5</v>
      </c>
      <c r="K156" s="99">
        <v>3.5473700000000001E-6</v>
      </c>
      <c r="L156" s="116">
        <v>1.49828E-5</v>
      </c>
      <c r="M156" s="2">
        <v>10</v>
      </c>
      <c r="N156" s="2">
        <v>14</v>
      </c>
      <c r="O156" s="2">
        <v>51</v>
      </c>
      <c r="P156" s="126">
        <v>0</v>
      </c>
      <c r="Q156" s="106">
        <v>3</v>
      </c>
      <c r="R156" s="127">
        <v>10</v>
      </c>
      <c r="S156" s="2">
        <v>1</v>
      </c>
      <c r="T156" s="2">
        <v>2</v>
      </c>
      <c r="U156" s="127">
        <v>5</v>
      </c>
      <c r="V156" s="2">
        <v>0</v>
      </c>
      <c r="W156" s="2">
        <v>2</v>
      </c>
      <c r="X156" s="109">
        <v>1</v>
      </c>
    </row>
    <row r="157" spans="1:24" x14ac:dyDescent="0.25">
      <c r="B157">
        <v>20090123</v>
      </c>
      <c r="C157" s="103">
        <v>9469.1</v>
      </c>
      <c r="D157" s="108">
        <v>6398.4</v>
      </c>
      <c r="E157" s="99">
        <v>5.1248100000000002E-5</v>
      </c>
      <c r="F157" s="99">
        <v>6.2033999999999996E-5</v>
      </c>
      <c r="G157" s="132">
        <v>2.73559E-5</v>
      </c>
      <c r="H157" s="133">
        <v>2.5525E-5</v>
      </c>
      <c r="I157" s="99">
        <v>2.0216499999999999E-5</v>
      </c>
      <c r="J157" s="133">
        <v>2.2177399999999999E-5</v>
      </c>
      <c r="K157" s="99">
        <v>1.7176999999999998E-5</v>
      </c>
      <c r="L157" s="116">
        <v>1.6319200000000001E-5</v>
      </c>
      <c r="M157" s="2">
        <v>0</v>
      </c>
      <c r="N157" s="2">
        <v>17</v>
      </c>
      <c r="O157" s="2">
        <v>25</v>
      </c>
      <c r="P157" s="126">
        <v>1</v>
      </c>
      <c r="Q157" s="106">
        <v>0</v>
      </c>
      <c r="R157" s="127">
        <v>6</v>
      </c>
      <c r="S157" s="2">
        <v>1</v>
      </c>
      <c r="T157" s="2">
        <v>1</v>
      </c>
      <c r="U157" s="127">
        <v>2</v>
      </c>
      <c r="V157" s="2">
        <v>0</v>
      </c>
      <c r="W157" s="2">
        <v>0</v>
      </c>
      <c r="X157" s="109">
        <v>1</v>
      </c>
    </row>
    <row r="158" spans="1:24" x14ac:dyDescent="0.25">
      <c r="B158">
        <v>20090711</v>
      </c>
      <c r="C158" s="103">
        <v>11653.8</v>
      </c>
      <c r="D158" s="108">
        <v>6703.3</v>
      </c>
      <c r="E158" s="99">
        <v>1.3778900000000001E-4</v>
      </c>
      <c r="F158" s="99">
        <v>1.45086E-4</v>
      </c>
      <c r="G158" s="132">
        <v>1.21017E-4</v>
      </c>
      <c r="H158" s="133">
        <v>1.2761200000000001E-4</v>
      </c>
      <c r="I158" s="99">
        <v>9.2816400000000001E-5</v>
      </c>
      <c r="J158" s="133">
        <v>1.07941E-4</v>
      </c>
      <c r="K158" s="99">
        <v>5.4793899999999997E-5</v>
      </c>
      <c r="L158" s="116">
        <v>5.6416899999999999E-5</v>
      </c>
      <c r="M158" s="2">
        <v>6</v>
      </c>
      <c r="N158" s="2">
        <v>7</v>
      </c>
      <c r="O158" s="2">
        <v>35</v>
      </c>
      <c r="P158" s="126">
        <v>1</v>
      </c>
      <c r="Q158" s="106">
        <v>1</v>
      </c>
      <c r="R158" s="127">
        <v>22</v>
      </c>
      <c r="S158" s="2">
        <v>0</v>
      </c>
      <c r="T158" s="2">
        <v>2</v>
      </c>
      <c r="U158" s="127">
        <v>14</v>
      </c>
      <c r="V158" s="2">
        <v>0</v>
      </c>
      <c r="W158" s="2">
        <v>0</v>
      </c>
      <c r="X158" s="109">
        <v>5</v>
      </c>
    </row>
    <row r="159" spans="1:24" x14ac:dyDescent="0.25">
      <c r="B159">
        <v>20090892</v>
      </c>
      <c r="C159" s="103">
        <v>5522.1</v>
      </c>
      <c r="D159" s="108">
        <v>5372.8</v>
      </c>
      <c r="E159" s="99">
        <v>2.0290799999999999E-4</v>
      </c>
      <c r="F159" s="99">
        <v>1.8537600000000001E-4</v>
      </c>
      <c r="G159" s="132">
        <v>1.7806000000000001E-4</v>
      </c>
      <c r="H159" s="133">
        <v>1.43891E-4</v>
      </c>
      <c r="I159" s="99">
        <v>1.5927199999999999E-4</v>
      </c>
      <c r="J159" s="133">
        <v>1.28443E-4</v>
      </c>
      <c r="K159" s="99">
        <v>1.3842300000000001E-4</v>
      </c>
      <c r="L159" s="116">
        <v>1.07638E-4</v>
      </c>
      <c r="M159" s="2">
        <v>2</v>
      </c>
      <c r="N159" s="2">
        <v>19</v>
      </c>
      <c r="O159" s="2">
        <v>30</v>
      </c>
      <c r="P159" s="126">
        <v>3</v>
      </c>
      <c r="Q159" s="106">
        <v>1</v>
      </c>
      <c r="R159" s="127">
        <v>16</v>
      </c>
      <c r="S159" s="2">
        <v>2</v>
      </c>
      <c r="T159" s="2">
        <v>1</v>
      </c>
      <c r="U159" s="127">
        <v>9</v>
      </c>
      <c r="V159" s="2">
        <v>2</v>
      </c>
      <c r="W159" s="2">
        <v>1</v>
      </c>
      <c r="X159" s="109">
        <v>4</v>
      </c>
    </row>
    <row r="160" spans="1:24" x14ac:dyDescent="0.25">
      <c r="B160">
        <v>20090965</v>
      </c>
      <c r="C160" s="103">
        <v>6122.4</v>
      </c>
      <c r="D160" s="108">
        <v>5598.6</v>
      </c>
      <c r="E160" s="99">
        <v>4.2747100000000003E-5</v>
      </c>
      <c r="F160" s="99">
        <v>5.8581800000000002E-5</v>
      </c>
      <c r="G160" s="132">
        <v>3.50942E-5</v>
      </c>
      <c r="H160" s="133">
        <v>2.9290900000000001E-5</v>
      </c>
      <c r="I160" s="99">
        <v>2.71133E-5</v>
      </c>
      <c r="J160" s="133">
        <v>2.05634E-5</v>
      </c>
      <c r="K160" s="99">
        <v>7.6529400000000003E-6</v>
      </c>
      <c r="L160" s="118">
        <v>4.9999999999999998E-7</v>
      </c>
      <c r="M160" s="2">
        <v>1</v>
      </c>
      <c r="N160" s="2">
        <v>25</v>
      </c>
      <c r="O160" s="2">
        <v>15</v>
      </c>
      <c r="P160" s="126">
        <v>1</v>
      </c>
      <c r="Q160" s="106">
        <v>0</v>
      </c>
      <c r="R160" s="127">
        <v>10</v>
      </c>
      <c r="S160" s="2">
        <v>2</v>
      </c>
      <c r="T160" s="2">
        <v>0</v>
      </c>
      <c r="U160" s="127">
        <v>6</v>
      </c>
      <c r="V160" s="2">
        <v>2</v>
      </c>
      <c r="W160" s="2">
        <v>0</v>
      </c>
      <c r="X160" s="109">
        <v>0</v>
      </c>
    </row>
    <row r="161" spans="2:24" x14ac:dyDescent="0.25">
      <c r="B161">
        <v>20091068</v>
      </c>
      <c r="C161" s="103">
        <v>18453</v>
      </c>
      <c r="D161" s="108">
        <v>7065.1</v>
      </c>
      <c r="E161" s="99">
        <v>9.4817300000000004E-5</v>
      </c>
      <c r="F161" s="99">
        <v>1.0535E-4</v>
      </c>
      <c r="G161" s="132">
        <v>5.2523099999999999E-5</v>
      </c>
      <c r="H161" s="133">
        <v>6.3001400000000003E-5</v>
      </c>
      <c r="I161" s="99">
        <v>2.1038300000000002E-5</v>
      </c>
      <c r="J161" s="133">
        <v>3.1074400000000002E-5</v>
      </c>
      <c r="K161" s="99">
        <v>6.8193000000000001E-6</v>
      </c>
      <c r="L161" s="118">
        <v>4.9999999999999998E-7</v>
      </c>
      <c r="M161" s="2">
        <v>11</v>
      </c>
      <c r="N161" s="2">
        <v>12</v>
      </c>
      <c r="O161" s="2">
        <v>54</v>
      </c>
      <c r="P161" s="126">
        <v>3</v>
      </c>
      <c r="Q161" s="106">
        <v>2</v>
      </c>
      <c r="R161" s="127">
        <v>19</v>
      </c>
      <c r="S161" s="2">
        <v>3</v>
      </c>
      <c r="T161" s="2">
        <v>4</v>
      </c>
      <c r="U161" s="127">
        <v>4</v>
      </c>
      <c r="V161" s="2">
        <v>2</v>
      </c>
      <c r="W161" s="2">
        <v>0</v>
      </c>
      <c r="X161" s="109">
        <v>0</v>
      </c>
    </row>
    <row r="162" spans="2:24" x14ac:dyDescent="0.25">
      <c r="B162">
        <v>20091069</v>
      </c>
      <c r="C162" s="103">
        <v>9371.7000000000007</v>
      </c>
      <c r="D162" s="108">
        <v>6440.5</v>
      </c>
      <c r="E162" s="99">
        <v>6.4636500000000004E-5</v>
      </c>
      <c r="F162" s="99">
        <v>7.3580599999999998E-5</v>
      </c>
      <c r="G162" s="132">
        <v>3.4282300000000002E-5</v>
      </c>
      <c r="H162" s="133">
        <v>2.6709399999999999E-5</v>
      </c>
      <c r="I162" s="99">
        <v>1.83553E-5</v>
      </c>
      <c r="J162" s="133">
        <v>1.3302700000000001E-5</v>
      </c>
      <c r="K162" s="99">
        <v>1.09275E-5</v>
      </c>
      <c r="L162" s="116">
        <v>9.7691799999999999E-6</v>
      </c>
      <c r="M162" s="2">
        <v>8</v>
      </c>
      <c r="N162" s="2">
        <v>30</v>
      </c>
      <c r="O162" s="2">
        <v>31</v>
      </c>
      <c r="P162" s="126">
        <v>3</v>
      </c>
      <c r="Q162" s="106">
        <v>0</v>
      </c>
      <c r="R162" s="127">
        <v>7</v>
      </c>
      <c r="S162" s="2">
        <v>1</v>
      </c>
      <c r="T162" s="2">
        <v>0</v>
      </c>
      <c r="U162" s="127">
        <v>2</v>
      </c>
      <c r="V162" s="2">
        <v>0</v>
      </c>
      <c r="W162" s="2">
        <v>0</v>
      </c>
      <c r="X162" s="109">
        <v>1</v>
      </c>
    </row>
    <row r="163" spans="2:24" x14ac:dyDescent="0.25">
      <c r="B163">
        <v>20091094</v>
      </c>
      <c r="C163" s="103">
        <v>11848.2</v>
      </c>
      <c r="D163" s="108">
        <v>6733</v>
      </c>
      <c r="E163" s="99">
        <v>1.4750399999999999E-4</v>
      </c>
      <c r="F163" s="99">
        <v>1.7009499999999999E-4</v>
      </c>
      <c r="G163" s="132">
        <v>1.1744900000000001E-4</v>
      </c>
      <c r="H163" s="133">
        <v>1.40271E-4</v>
      </c>
      <c r="I163" s="99">
        <v>8.5587099999999999E-5</v>
      </c>
      <c r="J163" s="133">
        <v>1.14623E-4</v>
      </c>
      <c r="K163" s="99">
        <v>7.5700799999999999E-5</v>
      </c>
      <c r="L163" s="116">
        <v>9.84185E-5</v>
      </c>
      <c r="M163" s="2">
        <v>8</v>
      </c>
      <c r="N163" s="2">
        <v>10</v>
      </c>
      <c r="O163" s="2">
        <v>40</v>
      </c>
      <c r="P163" s="126">
        <v>1</v>
      </c>
      <c r="Q163" s="106">
        <v>1</v>
      </c>
      <c r="R163" s="127">
        <v>16</v>
      </c>
      <c r="S163" s="2">
        <v>0</v>
      </c>
      <c r="T163" s="2">
        <v>1</v>
      </c>
      <c r="U163" s="127">
        <v>5</v>
      </c>
      <c r="V163" s="2">
        <v>0</v>
      </c>
      <c r="W163" s="2">
        <v>0</v>
      </c>
      <c r="X163" s="109">
        <v>1</v>
      </c>
    </row>
    <row r="164" spans="2:24" x14ac:dyDescent="0.25">
      <c r="B164">
        <v>20091119</v>
      </c>
      <c r="C164" s="103">
        <v>3624.6</v>
      </c>
      <c r="D164" s="108">
        <v>3599.4</v>
      </c>
      <c r="E164" s="99">
        <v>9.0487000000000003E-6</v>
      </c>
      <c r="F164" s="99">
        <v>1.97119E-5</v>
      </c>
      <c r="G164" s="132">
        <v>1.8466700000000001E-6</v>
      </c>
      <c r="H164" s="133">
        <v>2.9753799999999998E-6</v>
      </c>
      <c r="I164" s="99">
        <v>1.8466700000000001E-6</v>
      </c>
      <c r="J164" s="133">
        <v>2.23154E-6</v>
      </c>
      <c r="K164" s="100">
        <v>4.9999999999999998E-7</v>
      </c>
      <c r="L164" s="118">
        <v>4.9999999999999998E-7</v>
      </c>
      <c r="M164" s="2">
        <v>0</v>
      </c>
      <c r="N164" s="2">
        <v>11</v>
      </c>
      <c r="O164" s="2">
        <v>5</v>
      </c>
      <c r="P164" s="126">
        <v>0</v>
      </c>
      <c r="Q164" s="106">
        <v>2</v>
      </c>
      <c r="R164" s="127">
        <v>1</v>
      </c>
      <c r="S164" s="2">
        <v>0</v>
      </c>
      <c r="T164" s="2">
        <v>1</v>
      </c>
      <c r="U164" s="127">
        <v>1</v>
      </c>
      <c r="V164" s="2">
        <v>0</v>
      </c>
      <c r="W164" s="2">
        <v>0</v>
      </c>
      <c r="X164" s="109">
        <v>0</v>
      </c>
    </row>
    <row r="165" spans="2:24" x14ac:dyDescent="0.25">
      <c r="B165">
        <v>20091973</v>
      </c>
      <c r="C165" s="103">
        <v>1350.8</v>
      </c>
      <c r="D165" s="108">
        <v>1344.8</v>
      </c>
      <c r="E165" s="99">
        <v>4.6975499999999998E-4</v>
      </c>
      <c r="F165" s="99">
        <v>4.1012699999999999E-4</v>
      </c>
      <c r="G165" s="132">
        <v>4.6975499999999998E-4</v>
      </c>
      <c r="H165" s="133">
        <v>4.0514899999999999E-4</v>
      </c>
      <c r="I165" s="99">
        <v>4.6579100000000001E-4</v>
      </c>
      <c r="J165" s="133">
        <v>3.9121300000000001E-4</v>
      </c>
      <c r="K165" s="99">
        <v>4.28131E-4</v>
      </c>
      <c r="L165" s="116">
        <v>3.54879E-4</v>
      </c>
      <c r="M165" s="2">
        <v>2</v>
      </c>
      <c r="N165" s="2">
        <v>7</v>
      </c>
      <c r="O165" s="2">
        <v>18</v>
      </c>
      <c r="P165" s="126">
        <v>2</v>
      </c>
      <c r="Q165" s="106">
        <v>4</v>
      </c>
      <c r="R165" s="127">
        <v>18</v>
      </c>
      <c r="S165" s="2">
        <v>3</v>
      </c>
      <c r="T165" s="2">
        <v>1</v>
      </c>
      <c r="U165" s="127">
        <v>16</v>
      </c>
      <c r="V165" s="2">
        <v>2</v>
      </c>
      <c r="W165" s="2">
        <v>0</v>
      </c>
      <c r="X165" s="109">
        <v>10</v>
      </c>
    </row>
    <row r="166" spans="2:24" x14ac:dyDescent="0.25">
      <c r="B166">
        <v>20091980</v>
      </c>
      <c r="C166" s="103">
        <v>12152.7</v>
      </c>
      <c r="D166" s="108">
        <v>6802.9</v>
      </c>
      <c r="E166" s="99">
        <v>8.8069699999999995E-5</v>
      </c>
      <c r="F166" s="99">
        <v>9.1503999999999997E-5</v>
      </c>
      <c r="G166" s="132">
        <v>7.7384499999999997E-5</v>
      </c>
      <c r="H166" s="133">
        <v>6.8381999999999997E-5</v>
      </c>
      <c r="I166" s="99">
        <v>6.6809600000000005E-5</v>
      </c>
      <c r="J166" s="133">
        <v>5.1261899999999998E-5</v>
      </c>
      <c r="K166" s="99">
        <v>5.9484200000000002E-6</v>
      </c>
      <c r="L166" s="118">
        <v>4.9999999999999998E-7</v>
      </c>
      <c r="M166" s="2">
        <v>0</v>
      </c>
      <c r="N166" s="2">
        <v>16</v>
      </c>
      <c r="O166" s="2">
        <v>28</v>
      </c>
      <c r="P166" s="126">
        <v>1</v>
      </c>
      <c r="Q166" s="106">
        <v>2</v>
      </c>
      <c r="R166" s="127">
        <v>16</v>
      </c>
      <c r="S166" s="2">
        <v>2</v>
      </c>
      <c r="T166" s="2">
        <v>0</v>
      </c>
      <c r="U166" s="127">
        <v>11</v>
      </c>
      <c r="V166" s="2">
        <v>1</v>
      </c>
      <c r="W166" s="2">
        <v>0</v>
      </c>
      <c r="X166" s="109">
        <v>0</v>
      </c>
    </row>
    <row r="167" spans="2:24" x14ac:dyDescent="0.25">
      <c r="B167">
        <v>20091981</v>
      </c>
      <c r="C167" s="103">
        <v>23261.8</v>
      </c>
      <c r="D167" s="108">
        <v>7082.9</v>
      </c>
      <c r="E167" s="99">
        <v>1.6257500000000001E-5</v>
      </c>
      <c r="F167" s="99">
        <v>2.1640900000000001E-5</v>
      </c>
      <c r="G167" s="132">
        <v>4.8628600000000002E-6</v>
      </c>
      <c r="H167" s="133">
        <v>7.7491300000000005E-6</v>
      </c>
      <c r="I167" s="100">
        <v>4.9999999999999998E-7</v>
      </c>
      <c r="J167" s="133">
        <v>2.9295500000000002E-6</v>
      </c>
      <c r="K167" s="100">
        <v>4.9999999999999998E-7</v>
      </c>
      <c r="L167" s="118">
        <v>4.9999999999999998E-7</v>
      </c>
      <c r="M167" s="2">
        <v>9</v>
      </c>
      <c r="N167" s="2">
        <v>8</v>
      </c>
      <c r="O167" s="2">
        <v>11</v>
      </c>
      <c r="P167" s="126">
        <v>0</v>
      </c>
      <c r="Q167" s="106">
        <v>2</v>
      </c>
      <c r="R167" s="127">
        <v>2</v>
      </c>
      <c r="S167" s="2">
        <v>0</v>
      </c>
      <c r="T167" s="2">
        <v>2</v>
      </c>
      <c r="U167" s="127">
        <v>0</v>
      </c>
      <c r="V167" s="2">
        <v>0</v>
      </c>
      <c r="W167" s="2">
        <v>0</v>
      </c>
      <c r="X167" s="109">
        <v>0</v>
      </c>
    </row>
    <row r="168" spans="2:24" x14ac:dyDescent="0.25">
      <c r="B168">
        <v>20091983</v>
      </c>
      <c r="C168" s="103">
        <v>7898.4</v>
      </c>
      <c r="D168" s="108">
        <v>6086.3</v>
      </c>
      <c r="E168" s="99">
        <v>1.04236E-5</v>
      </c>
      <c r="F168" s="99">
        <v>2.3204700000000002E-5</v>
      </c>
      <c r="G168" s="132">
        <v>2.4576E-6</v>
      </c>
      <c r="H168" s="133">
        <v>3.40922E-6</v>
      </c>
      <c r="I168" s="99">
        <v>1.01694E-6</v>
      </c>
      <c r="J168" s="133">
        <v>1.3197E-6</v>
      </c>
      <c r="K168" s="100">
        <v>4.9999999999999998E-7</v>
      </c>
      <c r="L168" s="118">
        <v>4.9999999999999998E-7</v>
      </c>
      <c r="M168" s="2">
        <v>1</v>
      </c>
      <c r="N168" s="2">
        <v>19</v>
      </c>
      <c r="O168" s="2">
        <v>8</v>
      </c>
      <c r="P168" s="126">
        <v>0</v>
      </c>
      <c r="Q168" s="106">
        <v>1</v>
      </c>
      <c r="R168" s="127">
        <v>3</v>
      </c>
      <c r="S168" s="2">
        <v>0</v>
      </c>
      <c r="T168" s="2">
        <v>0</v>
      </c>
      <c r="U168" s="127">
        <v>1</v>
      </c>
      <c r="V168" s="2">
        <v>0</v>
      </c>
      <c r="W168" s="2">
        <v>0</v>
      </c>
      <c r="X168" s="109">
        <v>0</v>
      </c>
    </row>
    <row r="169" spans="2:24" x14ac:dyDescent="0.25">
      <c r="B169">
        <v>20092285</v>
      </c>
      <c r="C169" s="103">
        <v>10783.2</v>
      </c>
      <c r="D169" s="108">
        <v>6542.7</v>
      </c>
      <c r="E169" s="99">
        <v>6.4493599999999995E-5</v>
      </c>
      <c r="F169" s="99">
        <v>7.8979000000000004E-5</v>
      </c>
      <c r="G169" s="132">
        <v>2.2656599999999999E-5</v>
      </c>
      <c r="H169" s="133">
        <v>2.2302399999999998E-5</v>
      </c>
      <c r="I169" s="99">
        <v>1.2166300000000001E-5</v>
      </c>
      <c r="J169" s="133">
        <v>1.3095000000000001E-5</v>
      </c>
      <c r="K169" s="99">
        <v>4.5933900000000001E-6</v>
      </c>
      <c r="L169" s="116">
        <v>6.3428800000000002E-6</v>
      </c>
      <c r="M169" s="2">
        <v>2</v>
      </c>
      <c r="N169" s="2">
        <v>26</v>
      </c>
      <c r="O169" s="2">
        <v>38</v>
      </c>
      <c r="P169" s="126">
        <v>1</v>
      </c>
      <c r="Q169" s="106">
        <v>0</v>
      </c>
      <c r="R169" s="127">
        <v>10</v>
      </c>
      <c r="S169" s="2">
        <v>1</v>
      </c>
      <c r="T169" s="2">
        <v>0</v>
      </c>
      <c r="U169" s="127">
        <v>4</v>
      </c>
      <c r="V169" s="2">
        <v>0</v>
      </c>
      <c r="W169" s="2">
        <v>0</v>
      </c>
      <c r="X169" s="109">
        <v>1</v>
      </c>
    </row>
    <row r="170" spans="2:24" x14ac:dyDescent="0.25">
      <c r="B170">
        <v>20110089</v>
      </c>
      <c r="C170" s="103">
        <v>2078.3000000000002</v>
      </c>
      <c r="D170" s="108">
        <v>2063.4</v>
      </c>
      <c r="E170" s="99">
        <v>2.1739200000000001E-4</v>
      </c>
      <c r="F170" s="99">
        <v>2.2966800000000001E-4</v>
      </c>
      <c r="G170" s="132">
        <v>2.1449300000000001E-4</v>
      </c>
      <c r="H170" s="133">
        <v>2.1409700000000001E-4</v>
      </c>
      <c r="I170" s="99">
        <v>2.0386499999999999E-4</v>
      </c>
      <c r="J170" s="133">
        <v>2.0371699999999999E-4</v>
      </c>
      <c r="K170" s="99">
        <v>1.3880899999999999E-4</v>
      </c>
      <c r="L170" s="116">
        <v>1.3851400000000001E-4</v>
      </c>
      <c r="M170" s="2">
        <v>0</v>
      </c>
      <c r="N170" s="2">
        <v>10</v>
      </c>
      <c r="O170" s="2">
        <v>30</v>
      </c>
      <c r="P170" s="126">
        <v>0</v>
      </c>
      <c r="Q170" s="106">
        <v>2</v>
      </c>
      <c r="R170" s="127">
        <v>29</v>
      </c>
      <c r="S170" s="2">
        <v>0</v>
      </c>
      <c r="T170" s="2">
        <v>2</v>
      </c>
      <c r="U170" s="127">
        <v>25</v>
      </c>
      <c r="V170" s="2">
        <v>0</v>
      </c>
      <c r="W170" s="2">
        <v>0</v>
      </c>
      <c r="X170" s="109">
        <v>12</v>
      </c>
    </row>
    <row r="171" spans="2:24" x14ac:dyDescent="0.25">
      <c r="B171">
        <v>20110129</v>
      </c>
      <c r="C171" s="103">
        <v>15865.5</v>
      </c>
      <c r="D171" s="108">
        <v>6916</v>
      </c>
      <c r="E171" s="99">
        <v>1.06864E-4</v>
      </c>
      <c r="F171" s="99">
        <v>1.1584800000000001E-4</v>
      </c>
      <c r="G171" s="132">
        <v>8.5390100000000001E-5</v>
      </c>
      <c r="H171" s="133">
        <v>9.0297799999999995E-5</v>
      </c>
      <c r="I171" s="99">
        <v>7.1045900000000004E-5</v>
      </c>
      <c r="J171" s="133">
        <v>7.1812399999999997E-5</v>
      </c>
      <c r="K171" s="99">
        <v>6.3494100000000006E-5</v>
      </c>
      <c r="L171" s="116">
        <v>6.1069599999999995E-5</v>
      </c>
      <c r="M171" s="2">
        <v>8</v>
      </c>
      <c r="N171" s="2">
        <v>12</v>
      </c>
      <c r="O171" s="2">
        <v>31</v>
      </c>
      <c r="P171" s="126">
        <v>1</v>
      </c>
      <c r="Q171" s="106">
        <v>1</v>
      </c>
      <c r="R171" s="127">
        <v>11</v>
      </c>
      <c r="S171" s="2">
        <v>1</v>
      </c>
      <c r="T171" s="2">
        <v>0</v>
      </c>
      <c r="U171" s="127">
        <v>5</v>
      </c>
      <c r="V171" s="2">
        <v>1</v>
      </c>
      <c r="W171" s="2">
        <v>0</v>
      </c>
      <c r="X171" s="109">
        <v>3</v>
      </c>
    </row>
    <row r="172" spans="2:24" x14ac:dyDescent="0.25">
      <c r="B172">
        <v>20110216</v>
      </c>
      <c r="C172" s="103">
        <v>4218.6000000000004</v>
      </c>
      <c r="D172" s="108">
        <v>4180</v>
      </c>
      <c r="E172" s="99">
        <v>1.19793E-4</v>
      </c>
      <c r="F172" s="99">
        <v>1.37071E-4</v>
      </c>
      <c r="G172" s="132">
        <v>1.08051E-4</v>
      </c>
      <c r="H172" s="133">
        <v>1.09209E-4</v>
      </c>
      <c r="I172" s="99">
        <v>9.8848699999999994E-5</v>
      </c>
      <c r="J172" s="133">
        <v>9.7999599999999996E-5</v>
      </c>
      <c r="K172" s="99">
        <v>5.7436899999999999E-5</v>
      </c>
      <c r="L172" s="116">
        <v>5.6685999999999999E-5</v>
      </c>
      <c r="M172" s="2">
        <v>0</v>
      </c>
      <c r="N172" s="2">
        <v>19</v>
      </c>
      <c r="O172" s="2">
        <v>28</v>
      </c>
      <c r="P172" s="126">
        <v>0</v>
      </c>
      <c r="Q172" s="106">
        <v>3</v>
      </c>
      <c r="R172" s="127">
        <v>21</v>
      </c>
      <c r="S172" s="2">
        <v>0</v>
      </c>
      <c r="T172" s="2">
        <v>0</v>
      </c>
      <c r="U172" s="127">
        <v>17</v>
      </c>
      <c r="V172" s="2">
        <v>1</v>
      </c>
      <c r="W172" s="2">
        <v>0</v>
      </c>
      <c r="X172" s="109">
        <v>7</v>
      </c>
    </row>
    <row r="173" spans="2:24" x14ac:dyDescent="0.25">
      <c r="B173">
        <v>20120513</v>
      </c>
      <c r="C173" s="103">
        <v>13152.6</v>
      </c>
      <c r="D173" s="108">
        <v>6825.9</v>
      </c>
      <c r="E173" s="99">
        <v>4.71248E-5</v>
      </c>
      <c r="F173" s="99">
        <v>6.0698600000000002E-5</v>
      </c>
      <c r="G173" s="132">
        <v>1.48601E-5</v>
      </c>
      <c r="H173" s="133">
        <v>1.5787500000000001E-5</v>
      </c>
      <c r="I173" s="99">
        <v>1.2366400000000001E-5</v>
      </c>
      <c r="J173" s="133">
        <v>1.0002E-5</v>
      </c>
      <c r="K173" s="100">
        <v>4.9999999999999998E-7</v>
      </c>
      <c r="L173" s="118">
        <v>4.9999999999999998E-7</v>
      </c>
      <c r="M173" s="2">
        <v>9</v>
      </c>
      <c r="N173" s="2">
        <v>35</v>
      </c>
      <c r="O173" s="2">
        <v>28</v>
      </c>
      <c r="P173" s="126">
        <v>1</v>
      </c>
      <c r="Q173" s="106">
        <v>2</v>
      </c>
      <c r="R173" s="127">
        <v>4</v>
      </c>
      <c r="S173" s="2">
        <v>0</v>
      </c>
      <c r="T173" s="2">
        <v>1</v>
      </c>
      <c r="U173" s="127">
        <v>2</v>
      </c>
      <c r="V173" s="2">
        <v>0</v>
      </c>
      <c r="W173" s="2">
        <v>0</v>
      </c>
      <c r="X173" s="109">
        <v>0</v>
      </c>
    </row>
    <row r="174" spans="2:24" x14ac:dyDescent="0.25">
      <c r="B174">
        <v>20120642</v>
      </c>
      <c r="C174" s="103">
        <v>1110</v>
      </c>
      <c r="D174" s="108">
        <v>1103.9000000000001</v>
      </c>
      <c r="E174" s="99">
        <v>5.7887099999999997E-5</v>
      </c>
      <c r="F174" s="99">
        <v>6.3666700000000005E-5</v>
      </c>
      <c r="G174" s="132">
        <v>5.7887099999999997E-5</v>
      </c>
      <c r="H174" s="133">
        <v>6.3666700000000005E-5</v>
      </c>
      <c r="I174" s="99">
        <v>5.3666199999999998E-5</v>
      </c>
      <c r="J174" s="133">
        <v>5.4571499999999998E-5</v>
      </c>
      <c r="K174" s="99">
        <v>2.4722599999999999E-5</v>
      </c>
      <c r="L174" s="116">
        <v>2.48603E-5</v>
      </c>
      <c r="M174" s="2">
        <v>0</v>
      </c>
      <c r="N174" s="2">
        <v>3</v>
      </c>
      <c r="O174" s="2">
        <v>11</v>
      </c>
      <c r="P174" s="126">
        <v>0</v>
      </c>
      <c r="Q174" s="106">
        <v>3</v>
      </c>
      <c r="R174" s="127">
        <v>11</v>
      </c>
      <c r="S174" s="2">
        <v>0</v>
      </c>
      <c r="T174" s="2">
        <v>1</v>
      </c>
      <c r="U174" s="127">
        <v>10</v>
      </c>
      <c r="V174" s="2">
        <v>0</v>
      </c>
      <c r="W174" s="2">
        <v>0</v>
      </c>
      <c r="X174" s="109">
        <v>4</v>
      </c>
    </row>
    <row r="175" spans="2:24" x14ac:dyDescent="0.25">
      <c r="B175">
        <v>20120647</v>
      </c>
      <c r="C175" s="103">
        <v>3370.2</v>
      </c>
      <c r="D175" s="108">
        <v>3358.9</v>
      </c>
      <c r="E175" s="99">
        <v>9.5331899999999994E-5</v>
      </c>
      <c r="F175" s="99">
        <v>1.2773400000000001E-4</v>
      </c>
      <c r="G175" s="132">
        <v>8.0634899999999996E-5</v>
      </c>
      <c r="H175" s="133">
        <v>8.1702199999999998E-5</v>
      </c>
      <c r="I175" s="99">
        <v>5.9185199999999997E-5</v>
      </c>
      <c r="J175" s="133">
        <v>5.8387200000000002E-5</v>
      </c>
      <c r="K175" s="101">
        <v>1.1916500000000001E-6</v>
      </c>
      <c r="L175" s="116">
        <v>1.1956400000000001E-6</v>
      </c>
      <c r="M175" s="2">
        <v>0</v>
      </c>
      <c r="N175" s="2">
        <v>29</v>
      </c>
      <c r="O175" s="2">
        <v>31</v>
      </c>
      <c r="P175" s="126">
        <v>0</v>
      </c>
      <c r="Q175" s="106">
        <v>2</v>
      </c>
      <c r="R175" s="127">
        <v>23</v>
      </c>
      <c r="S175" s="2">
        <v>0</v>
      </c>
      <c r="T175" s="2">
        <v>0</v>
      </c>
      <c r="U175" s="127">
        <v>16</v>
      </c>
      <c r="V175" s="2">
        <v>0</v>
      </c>
      <c r="W175" s="2">
        <v>0</v>
      </c>
      <c r="X175" s="109">
        <v>1</v>
      </c>
    </row>
    <row r="176" spans="2:24" x14ac:dyDescent="0.25">
      <c r="B176">
        <v>20120850</v>
      </c>
      <c r="C176" s="103">
        <v>13030.8</v>
      </c>
      <c r="D176" s="108">
        <v>6792.5</v>
      </c>
      <c r="E176" s="99">
        <v>4.4175199999999997E-5</v>
      </c>
      <c r="F176" s="99">
        <v>7.0260500000000003E-5</v>
      </c>
      <c r="G176" s="132">
        <v>1.0787E-5</v>
      </c>
      <c r="H176" s="133">
        <v>1.18251E-5</v>
      </c>
      <c r="I176" s="99">
        <v>5.2393799999999996E-6</v>
      </c>
      <c r="J176" s="133">
        <v>5.3212699999999998E-6</v>
      </c>
      <c r="K176" s="100">
        <v>4.9999999999999998E-7</v>
      </c>
      <c r="L176" s="118">
        <v>4.9999999999999998E-7</v>
      </c>
      <c r="M176" s="2">
        <v>8</v>
      </c>
      <c r="N176" s="2">
        <v>40</v>
      </c>
      <c r="O176" s="2">
        <v>33</v>
      </c>
      <c r="P176" s="126">
        <v>2</v>
      </c>
      <c r="Q176" s="106">
        <v>1</v>
      </c>
      <c r="R176" s="127">
        <v>3</v>
      </c>
      <c r="S176" s="2">
        <v>0</v>
      </c>
      <c r="T176" s="2">
        <v>0</v>
      </c>
      <c r="U176" s="127">
        <v>1</v>
      </c>
      <c r="V176" s="2">
        <v>0</v>
      </c>
      <c r="W176" s="2">
        <v>0</v>
      </c>
      <c r="X176" s="109">
        <v>0</v>
      </c>
    </row>
    <row r="177" spans="1:24" x14ac:dyDescent="0.25">
      <c r="B177">
        <v>20120884</v>
      </c>
      <c r="C177" s="103">
        <v>33851.300000000003</v>
      </c>
      <c r="D177" s="108">
        <v>7344.5</v>
      </c>
      <c r="E177" s="99">
        <v>1.7311299999999999E-4</v>
      </c>
      <c r="F177" s="99">
        <v>1.81998E-4</v>
      </c>
      <c r="G177" s="132">
        <v>1.30028E-4</v>
      </c>
      <c r="H177" s="133">
        <v>1.4326599999999999E-4</v>
      </c>
      <c r="I177" s="99">
        <v>1.22059E-4</v>
      </c>
      <c r="J177" s="133">
        <v>1.3214699999999999E-4</v>
      </c>
      <c r="K177" s="99">
        <v>1.0895000000000001E-4</v>
      </c>
      <c r="L177" s="116">
        <v>1.2758999999999999E-4</v>
      </c>
      <c r="M177" s="2">
        <v>33</v>
      </c>
      <c r="N177" s="2">
        <v>10</v>
      </c>
      <c r="O177" s="2">
        <v>55</v>
      </c>
      <c r="P177" s="126">
        <v>2</v>
      </c>
      <c r="Q177" s="106">
        <v>1</v>
      </c>
      <c r="R177" s="127">
        <v>15</v>
      </c>
      <c r="S177" s="2">
        <v>1</v>
      </c>
      <c r="T177" s="2">
        <v>0</v>
      </c>
      <c r="U177" s="127">
        <v>11</v>
      </c>
      <c r="V177" s="2">
        <v>0</v>
      </c>
      <c r="W177" s="2">
        <v>1</v>
      </c>
      <c r="X177" s="109">
        <v>9</v>
      </c>
    </row>
    <row r="178" spans="1:24" x14ac:dyDescent="0.25">
      <c r="B178">
        <v>20120907</v>
      </c>
      <c r="C178" s="103">
        <v>7268.2</v>
      </c>
      <c r="D178" s="108">
        <v>6046.2</v>
      </c>
      <c r="E178" s="99">
        <v>1.11155E-4</v>
      </c>
      <c r="F178" s="99">
        <v>1.2963499999999999E-4</v>
      </c>
      <c r="G178" s="132">
        <v>8.2698800000000002E-5</v>
      </c>
      <c r="H178" s="133">
        <v>8.4356899999999999E-5</v>
      </c>
      <c r="I178" s="99">
        <v>3.7205300000000001E-5</v>
      </c>
      <c r="J178" s="133">
        <v>3.6089700000000001E-5</v>
      </c>
      <c r="K178" s="99">
        <v>1.38138E-5</v>
      </c>
      <c r="L178" s="116">
        <v>1.59415E-5</v>
      </c>
      <c r="M178" s="2">
        <v>0</v>
      </c>
      <c r="N178" s="2">
        <v>26</v>
      </c>
      <c r="O178" s="2">
        <v>45</v>
      </c>
      <c r="P178" s="126">
        <v>1</v>
      </c>
      <c r="Q178" s="106">
        <v>1</v>
      </c>
      <c r="R178" s="127">
        <v>25</v>
      </c>
      <c r="S178" s="2">
        <v>1</v>
      </c>
      <c r="T178" s="2">
        <v>0</v>
      </c>
      <c r="U178" s="127">
        <v>8</v>
      </c>
      <c r="V178" s="2">
        <v>0</v>
      </c>
      <c r="W178" s="2">
        <v>0</v>
      </c>
      <c r="X178" s="109">
        <v>3</v>
      </c>
    </row>
    <row r="179" spans="1:24" x14ac:dyDescent="0.25">
      <c r="B179">
        <v>20120924</v>
      </c>
      <c r="C179" s="103">
        <v>7361.2</v>
      </c>
      <c r="D179" s="108">
        <v>5994.2</v>
      </c>
      <c r="E179" s="99">
        <v>1.3548400000000001E-5</v>
      </c>
      <c r="F179" s="99">
        <v>2.9032700000000001E-5</v>
      </c>
      <c r="G179" s="132">
        <v>3.7280799999999998E-6</v>
      </c>
      <c r="H179" s="133">
        <v>2.7916099999999999E-6</v>
      </c>
      <c r="I179" s="99">
        <v>1.6367200000000001E-6</v>
      </c>
      <c r="J179" s="133">
        <v>2.00996E-6</v>
      </c>
      <c r="K179" s="100">
        <v>4.9999999999999998E-7</v>
      </c>
      <c r="L179" s="118">
        <v>4.9999999999999998E-7</v>
      </c>
      <c r="M179" s="2">
        <v>1</v>
      </c>
      <c r="N179" s="2">
        <v>23</v>
      </c>
      <c r="O179" s="2">
        <v>10</v>
      </c>
      <c r="P179" s="126">
        <v>1</v>
      </c>
      <c r="Q179" s="106">
        <v>0</v>
      </c>
      <c r="R179" s="127">
        <v>2</v>
      </c>
      <c r="S179" s="2">
        <v>0</v>
      </c>
      <c r="T179" s="2">
        <v>0</v>
      </c>
      <c r="U179" s="127">
        <v>1</v>
      </c>
      <c r="V179" s="2">
        <v>0</v>
      </c>
      <c r="W179" s="2">
        <v>0</v>
      </c>
      <c r="X179" s="109">
        <v>0</v>
      </c>
    </row>
    <row r="180" spans="1:24" x14ac:dyDescent="0.25">
      <c r="B180">
        <v>20120992</v>
      </c>
      <c r="C180" s="103">
        <v>4815.1000000000004</v>
      </c>
      <c r="D180" s="108">
        <v>4767</v>
      </c>
      <c r="E180" s="99">
        <v>1.0286699999999999E-5</v>
      </c>
      <c r="F180" s="99">
        <v>3.6366499999999998E-5</v>
      </c>
      <c r="G180" s="132">
        <v>4.3093100000000003E-6</v>
      </c>
      <c r="H180" s="133">
        <v>4.2123299999999999E-6</v>
      </c>
      <c r="I180" s="100">
        <v>4.9999999999999998E-7</v>
      </c>
      <c r="J180" s="133">
        <v>1.12329E-6</v>
      </c>
      <c r="K180" s="100">
        <v>4.9999999999999998E-7</v>
      </c>
      <c r="L180" s="118">
        <v>4.9999999999999998E-7</v>
      </c>
      <c r="M180" s="2">
        <v>0</v>
      </c>
      <c r="N180" s="2">
        <v>34</v>
      </c>
      <c r="O180" s="2">
        <v>6</v>
      </c>
      <c r="P180" s="126">
        <v>1</v>
      </c>
      <c r="Q180" s="106">
        <v>5</v>
      </c>
      <c r="R180" s="127">
        <v>1</v>
      </c>
      <c r="S180" s="2">
        <v>0</v>
      </c>
      <c r="T180" s="2">
        <v>2</v>
      </c>
      <c r="U180" s="127">
        <v>0</v>
      </c>
      <c r="V180" s="2">
        <v>0</v>
      </c>
      <c r="W180" s="2">
        <v>0</v>
      </c>
      <c r="X180" s="109">
        <v>0</v>
      </c>
    </row>
    <row r="181" spans="1:24" x14ac:dyDescent="0.25">
      <c r="B181">
        <v>20121009</v>
      </c>
      <c r="C181" s="103">
        <v>12127.9</v>
      </c>
      <c r="D181" s="108">
        <v>6734.8</v>
      </c>
      <c r="E181" s="99">
        <v>7.8977299999999993E-5</v>
      </c>
      <c r="F181" s="99">
        <v>1.06839E-4</v>
      </c>
      <c r="G181" s="132">
        <v>3.1458499999999997E-5</v>
      </c>
      <c r="H181" s="133">
        <v>4.3232699999999997E-5</v>
      </c>
      <c r="I181" s="99">
        <v>2.56083E-5</v>
      </c>
      <c r="J181" s="133">
        <v>3.4288000000000001E-5</v>
      </c>
      <c r="K181" s="99">
        <v>2.56083E-5</v>
      </c>
      <c r="L181" s="116">
        <v>3.4288000000000001E-5</v>
      </c>
      <c r="M181" s="2">
        <v>6</v>
      </c>
      <c r="N181" s="2">
        <v>32</v>
      </c>
      <c r="O181" s="2">
        <v>50</v>
      </c>
      <c r="P181" s="126">
        <v>0</v>
      </c>
      <c r="Q181" s="106">
        <v>1</v>
      </c>
      <c r="R181" s="127">
        <v>8</v>
      </c>
      <c r="S181" s="2">
        <v>0</v>
      </c>
      <c r="T181" s="2">
        <v>0</v>
      </c>
      <c r="U181" s="127">
        <v>3</v>
      </c>
      <c r="V181" s="2">
        <v>0</v>
      </c>
      <c r="W181" s="2">
        <v>0</v>
      </c>
      <c r="X181" s="109">
        <v>3</v>
      </c>
    </row>
    <row r="182" spans="1:24" x14ac:dyDescent="0.25">
      <c r="B182">
        <v>20121026</v>
      </c>
      <c r="C182" s="103">
        <v>11497</v>
      </c>
      <c r="D182" s="108">
        <v>6761.2</v>
      </c>
      <c r="E182" s="99">
        <v>7.0386699999999995E-5</v>
      </c>
      <c r="F182" s="99">
        <v>8.1970200000000003E-5</v>
      </c>
      <c r="G182" s="132">
        <v>3.5630000000000003E-5</v>
      </c>
      <c r="H182" s="133">
        <v>4.0787100000000001E-5</v>
      </c>
      <c r="I182" s="99">
        <v>3.0797799999999998E-5</v>
      </c>
      <c r="J182" s="133">
        <v>3.4847200000000001E-5</v>
      </c>
      <c r="K182" s="99">
        <v>1.10034E-5</v>
      </c>
      <c r="L182" s="116">
        <v>1.74236E-5</v>
      </c>
      <c r="M182" s="2">
        <v>3</v>
      </c>
      <c r="N182" s="2">
        <v>22</v>
      </c>
      <c r="O182" s="2">
        <v>35</v>
      </c>
      <c r="P182" s="126">
        <v>1</v>
      </c>
      <c r="Q182" s="106">
        <v>2</v>
      </c>
      <c r="R182" s="127">
        <v>8</v>
      </c>
      <c r="S182" s="2">
        <v>0</v>
      </c>
      <c r="T182" s="2">
        <v>0</v>
      </c>
      <c r="U182" s="127">
        <v>6</v>
      </c>
      <c r="V182" s="2">
        <v>0</v>
      </c>
      <c r="W182" s="2">
        <v>0</v>
      </c>
      <c r="X182" s="109">
        <v>2</v>
      </c>
    </row>
    <row r="183" spans="1:24" x14ac:dyDescent="0.25">
      <c r="B183">
        <v>20121040</v>
      </c>
      <c r="C183" s="103">
        <v>37609</v>
      </c>
      <c r="D183" s="108">
        <v>7309.2</v>
      </c>
      <c r="E183" s="99">
        <v>4.2162200000000001E-5</v>
      </c>
      <c r="F183" s="99">
        <v>4.9084600000000001E-5</v>
      </c>
      <c r="G183" s="132">
        <v>1.6017700000000001E-6</v>
      </c>
      <c r="H183" s="133">
        <v>7.5092099999999999E-6</v>
      </c>
      <c r="I183" s="100">
        <v>4.9999999999999998E-7</v>
      </c>
      <c r="J183" s="133">
        <v>4.8535100000000001E-6</v>
      </c>
      <c r="K183" s="100">
        <v>4.9999999999999998E-7</v>
      </c>
      <c r="L183" s="118">
        <v>4.9999999999999998E-7</v>
      </c>
      <c r="M183" s="2">
        <v>31</v>
      </c>
      <c r="N183" s="2">
        <v>18</v>
      </c>
      <c r="O183" s="2">
        <v>36</v>
      </c>
      <c r="P183" s="126">
        <v>0</v>
      </c>
      <c r="Q183" s="106">
        <v>4</v>
      </c>
      <c r="R183" s="127">
        <v>2</v>
      </c>
      <c r="S183" s="2">
        <v>0</v>
      </c>
      <c r="T183" s="2">
        <v>3</v>
      </c>
      <c r="U183" s="127">
        <v>0</v>
      </c>
      <c r="V183" s="2">
        <v>0</v>
      </c>
      <c r="W183" s="2">
        <v>0</v>
      </c>
      <c r="X183" s="109">
        <v>0</v>
      </c>
    </row>
    <row r="184" spans="1:24" x14ac:dyDescent="0.25">
      <c r="B184">
        <v>20121047</v>
      </c>
      <c r="C184" s="103">
        <v>3561</v>
      </c>
      <c r="D184" s="108">
        <v>3540.7</v>
      </c>
      <c r="E184" s="99">
        <v>3.7574700000000001E-4</v>
      </c>
      <c r="F184" s="99">
        <v>4.16084E-4</v>
      </c>
      <c r="G184" s="132">
        <v>3.3646199999999999E-4</v>
      </c>
      <c r="H184" s="133">
        <v>3.2874599999999999E-4</v>
      </c>
      <c r="I184" s="99">
        <v>2.25937E-4</v>
      </c>
      <c r="J184" s="133">
        <v>2.2779699999999999E-4</v>
      </c>
      <c r="K184" s="99">
        <v>1.76126E-4</v>
      </c>
      <c r="L184" s="116">
        <v>1.6598000000000001E-4</v>
      </c>
      <c r="M184" s="2">
        <v>0</v>
      </c>
      <c r="N184" s="2">
        <v>41</v>
      </c>
      <c r="O184" s="2">
        <v>97</v>
      </c>
      <c r="P184" s="126">
        <v>3</v>
      </c>
      <c r="Q184" s="106">
        <v>3</v>
      </c>
      <c r="R184" s="127">
        <v>74</v>
      </c>
      <c r="S184" s="2">
        <v>1</v>
      </c>
      <c r="T184" s="2">
        <v>2</v>
      </c>
      <c r="U184" s="127">
        <v>36</v>
      </c>
      <c r="V184" s="2">
        <v>1</v>
      </c>
      <c r="W184" s="2">
        <v>0</v>
      </c>
      <c r="X184" s="109">
        <v>22</v>
      </c>
    </row>
    <row r="185" spans="1:24" x14ac:dyDescent="0.25">
      <c r="B185">
        <v>20121105</v>
      </c>
      <c r="C185" s="103">
        <v>1231.9000000000001</v>
      </c>
      <c r="D185" s="108">
        <v>1220.8</v>
      </c>
      <c r="E185" s="99">
        <v>1.89085E-4</v>
      </c>
      <c r="F185" s="99">
        <v>3.0979199999999998E-4</v>
      </c>
      <c r="G185" s="132">
        <v>1.89085E-4</v>
      </c>
      <c r="H185" s="133">
        <v>2.56607E-4</v>
      </c>
      <c r="I185" s="99">
        <v>1.4833399999999999E-4</v>
      </c>
      <c r="J185" s="133">
        <v>1.5791199999999999E-4</v>
      </c>
      <c r="K185" s="99">
        <v>1.0867E-4</v>
      </c>
      <c r="L185" s="116">
        <v>1.0582300000000001E-4</v>
      </c>
      <c r="M185" s="2">
        <v>0</v>
      </c>
      <c r="N185" s="2">
        <v>60</v>
      </c>
      <c r="O185" s="2">
        <v>26</v>
      </c>
      <c r="P185" s="126">
        <v>0</v>
      </c>
      <c r="Q185" s="106">
        <v>33</v>
      </c>
      <c r="R185" s="127">
        <v>26</v>
      </c>
      <c r="S185" s="2">
        <v>0</v>
      </c>
      <c r="T185" s="2">
        <v>7</v>
      </c>
      <c r="U185" s="127">
        <v>16</v>
      </c>
      <c r="V185" s="2">
        <v>1</v>
      </c>
      <c r="W185" s="2">
        <v>3</v>
      </c>
      <c r="X185" s="109">
        <v>6</v>
      </c>
    </row>
    <row r="186" spans="1:24" x14ac:dyDescent="0.25">
      <c r="B186">
        <v>20121116</v>
      </c>
      <c r="C186" s="103">
        <v>26347.3</v>
      </c>
      <c r="D186" s="108">
        <v>7148.6</v>
      </c>
      <c r="E186" s="99">
        <v>7.24287E-5</v>
      </c>
      <c r="F186" s="99">
        <v>1.03183E-4</v>
      </c>
      <c r="G186" s="132">
        <v>3.3432500000000002E-5</v>
      </c>
      <c r="H186" s="133">
        <v>4.2415500000000001E-5</v>
      </c>
      <c r="I186" s="99">
        <v>3.17812E-5</v>
      </c>
      <c r="J186" s="133">
        <v>3.6797500000000001E-5</v>
      </c>
      <c r="K186" s="99">
        <v>3.17812E-5</v>
      </c>
      <c r="L186" s="116">
        <v>2.9868700000000001E-5</v>
      </c>
      <c r="M186" s="2">
        <v>23</v>
      </c>
      <c r="N186" s="2">
        <v>43</v>
      </c>
      <c r="O186" s="2">
        <v>46</v>
      </c>
      <c r="P186" s="126">
        <v>0</v>
      </c>
      <c r="Q186" s="106">
        <v>6</v>
      </c>
      <c r="R186" s="127">
        <v>5</v>
      </c>
      <c r="S186" s="2">
        <v>0</v>
      </c>
      <c r="T186" s="2">
        <v>6</v>
      </c>
      <c r="U186" s="127">
        <v>1</v>
      </c>
      <c r="V186" s="2">
        <v>0</v>
      </c>
      <c r="W186" s="2">
        <v>1</v>
      </c>
      <c r="X186" s="109">
        <v>1</v>
      </c>
    </row>
    <row r="187" spans="1:24" x14ac:dyDescent="0.25">
      <c r="B187">
        <v>20121156</v>
      </c>
      <c r="C187" s="103">
        <v>18767</v>
      </c>
      <c r="D187" s="108">
        <v>7044.5</v>
      </c>
      <c r="E187" s="99">
        <v>8.6026200000000007E-5</v>
      </c>
      <c r="F187" s="99">
        <v>1.11834E-4</v>
      </c>
      <c r="G187" s="132">
        <v>4.3298399999999999E-5</v>
      </c>
      <c r="H187" s="133">
        <v>4.5512800000000002E-5</v>
      </c>
      <c r="I187" s="99">
        <v>3.8483499999999998E-5</v>
      </c>
      <c r="J187" s="133">
        <v>3.8956699999999999E-5</v>
      </c>
      <c r="K187" s="99">
        <v>3.7984200000000001E-5</v>
      </c>
      <c r="L187" s="116">
        <v>3.43959E-5</v>
      </c>
      <c r="M187" s="2">
        <v>13</v>
      </c>
      <c r="N187" s="2">
        <v>37</v>
      </c>
      <c r="O187" s="2">
        <v>53</v>
      </c>
      <c r="P187" s="126">
        <v>0</v>
      </c>
      <c r="Q187" s="106">
        <v>1</v>
      </c>
      <c r="R187" s="127">
        <v>9</v>
      </c>
      <c r="S187" s="2">
        <v>0</v>
      </c>
      <c r="T187" s="2">
        <v>3</v>
      </c>
      <c r="U187" s="127">
        <v>3</v>
      </c>
      <c r="V187" s="2">
        <v>0</v>
      </c>
      <c r="W187" s="2">
        <v>1</v>
      </c>
      <c r="X187" s="109">
        <v>2</v>
      </c>
    </row>
    <row r="188" spans="1:24" x14ac:dyDescent="0.25">
      <c r="B188">
        <v>20121201</v>
      </c>
      <c r="C188" s="103">
        <v>12138.7</v>
      </c>
      <c r="D188" s="108">
        <v>6755.5</v>
      </c>
      <c r="E188" s="99">
        <v>2.24756E-4</v>
      </c>
      <c r="F188" s="99">
        <v>2.3650900000000001E-4</v>
      </c>
      <c r="G188" s="132">
        <v>2.0611800000000001E-4</v>
      </c>
      <c r="H188" s="133">
        <v>2.1104500000000001E-4</v>
      </c>
      <c r="I188" s="99">
        <v>1.9635799999999999E-4</v>
      </c>
      <c r="J188" s="133">
        <v>2.0093800000000001E-4</v>
      </c>
      <c r="K188" s="99">
        <v>1.5031500000000001E-4</v>
      </c>
      <c r="L188" s="116">
        <v>1.60216E-4</v>
      </c>
      <c r="M188" s="2">
        <v>4</v>
      </c>
      <c r="N188" s="2">
        <v>13</v>
      </c>
      <c r="O188" s="2">
        <v>45</v>
      </c>
      <c r="P188" s="126">
        <v>2</v>
      </c>
      <c r="Q188" s="106">
        <v>0</v>
      </c>
      <c r="R188" s="127">
        <v>27</v>
      </c>
      <c r="S188" s="2">
        <v>2</v>
      </c>
      <c r="T188" s="2">
        <v>1</v>
      </c>
      <c r="U188" s="127">
        <v>22</v>
      </c>
      <c r="V188" s="2">
        <v>1</v>
      </c>
      <c r="W188" s="2">
        <v>1</v>
      </c>
      <c r="X188" s="109">
        <v>15</v>
      </c>
    </row>
    <row r="189" spans="1:24" x14ac:dyDescent="0.25">
      <c r="B189">
        <v>20121208</v>
      </c>
      <c r="C189" s="103">
        <v>4837</v>
      </c>
      <c r="D189" s="108">
        <v>4808.8</v>
      </c>
      <c r="E189" s="99">
        <v>6.7253200000000002E-5</v>
      </c>
      <c r="F189" s="99">
        <v>9.0614100000000004E-5</v>
      </c>
      <c r="G189" s="132">
        <v>5.8811999999999999E-5</v>
      </c>
      <c r="H189" s="133">
        <v>5.9852699999999997E-5</v>
      </c>
      <c r="I189" s="99">
        <v>4.99556E-5</v>
      </c>
      <c r="J189" s="133">
        <v>5.0109199999999998E-5</v>
      </c>
      <c r="K189" s="99">
        <v>1.6744100000000001E-5</v>
      </c>
      <c r="L189" s="116">
        <v>1.68423E-5</v>
      </c>
      <c r="M189" s="2">
        <v>0</v>
      </c>
      <c r="N189" s="2">
        <v>30</v>
      </c>
      <c r="O189" s="2">
        <v>26</v>
      </c>
      <c r="P189" s="126">
        <v>0</v>
      </c>
      <c r="Q189" s="106">
        <v>3</v>
      </c>
      <c r="R189" s="127">
        <v>19</v>
      </c>
      <c r="S189" s="2">
        <v>0</v>
      </c>
      <c r="T189" s="2">
        <v>1</v>
      </c>
      <c r="U189" s="127">
        <v>14</v>
      </c>
      <c r="V189" s="2">
        <v>0</v>
      </c>
      <c r="W189" s="2">
        <v>0</v>
      </c>
      <c r="X189" s="109">
        <v>4</v>
      </c>
    </row>
    <row r="190" spans="1:24" x14ac:dyDescent="0.25">
      <c r="B190">
        <v>20121380</v>
      </c>
      <c r="C190" s="103">
        <v>2158.1999999999998</v>
      </c>
      <c r="D190" s="108">
        <v>2150.4</v>
      </c>
      <c r="E190" s="99">
        <v>1.6276000000000001E-3</v>
      </c>
      <c r="F190" s="99">
        <v>1.4477100000000001E-3</v>
      </c>
      <c r="G190" s="132">
        <v>1.6111599999999999E-3</v>
      </c>
      <c r="H190" s="133">
        <v>1.3767499999999999E-3</v>
      </c>
      <c r="I190" s="99">
        <v>1.4675700000000001E-3</v>
      </c>
      <c r="J190" s="133">
        <v>1.20897E-3</v>
      </c>
      <c r="K190" s="99">
        <v>1.2923399999999999E-3</v>
      </c>
      <c r="L190" s="116">
        <v>1.0527100000000001E-3</v>
      </c>
      <c r="M190" s="2">
        <v>4</v>
      </c>
      <c r="N190" s="2">
        <v>45</v>
      </c>
      <c r="O190" s="2">
        <v>116</v>
      </c>
      <c r="P190" s="126">
        <v>4</v>
      </c>
      <c r="Q190" s="106">
        <v>10</v>
      </c>
      <c r="R190" s="127">
        <v>109</v>
      </c>
      <c r="S190" s="2">
        <v>8</v>
      </c>
      <c r="T190" s="2">
        <v>1</v>
      </c>
      <c r="U190" s="127">
        <v>61</v>
      </c>
      <c r="V190" s="2">
        <v>3</v>
      </c>
      <c r="W190" s="2">
        <v>0</v>
      </c>
      <c r="X190" s="109">
        <v>26</v>
      </c>
    </row>
    <row r="191" spans="1:24" x14ac:dyDescent="0.25">
      <c r="C191" s="105"/>
      <c r="D191" s="109"/>
      <c r="E191" s="2"/>
      <c r="F191" s="2"/>
      <c r="G191" s="126"/>
      <c r="H191" s="127"/>
      <c r="I191" s="2"/>
      <c r="J191" s="127"/>
      <c r="K191" s="2"/>
      <c r="L191" s="109"/>
      <c r="M191" s="2"/>
      <c r="N191" s="2"/>
      <c r="O191" s="2"/>
      <c r="P191" s="126"/>
      <c r="Q191" s="106"/>
      <c r="R191" s="127"/>
      <c r="S191" s="2"/>
      <c r="T191" s="2"/>
      <c r="U191" s="127"/>
      <c r="V191" s="2"/>
      <c r="W191" s="2"/>
      <c r="X191" s="109"/>
    </row>
    <row r="192" spans="1:24" x14ac:dyDescent="0.25">
      <c r="A192" t="s">
        <v>1107</v>
      </c>
      <c r="B192">
        <v>20080358</v>
      </c>
      <c r="C192" s="103">
        <v>37205.199999999997</v>
      </c>
      <c r="D192" s="108">
        <v>7307.4</v>
      </c>
      <c r="E192" s="99">
        <v>5.9793200000000002E-5</v>
      </c>
      <c r="F192" s="99">
        <v>6.3152900000000003E-5</v>
      </c>
      <c r="G192" s="132">
        <v>1.5577200000000001E-5</v>
      </c>
      <c r="H192" s="133">
        <v>2.67981E-5</v>
      </c>
      <c r="I192" s="99">
        <v>1.5577200000000001E-5</v>
      </c>
      <c r="J192" s="133">
        <v>2.3645399999999999E-5</v>
      </c>
      <c r="K192" s="99">
        <v>1.0971800000000001E-5</v>
      </c>
      <c r="L192" s="116">
        <v>1.8226599999999999E-5</v>
      </c>
      <c r="M192" s="2">
        <v>32</v>
      </c>
      <c r="N192" s="2">
        <v>8</v>
      </c>
      <c r="O192" s="2">
        <v>41</v>
      </c>
      <c r="P192" s="126">
        <v>0</v>
      </c>
      <c r="Q192" s="106">
        <v>4</v>
      </c>
      <c r="R192" s="127">
        <v>4</v>
      </c>
      <c r="S192" s="2">
        <v>0</v>
      </c>
      <c r="T192" s="2">
        <v>1</v>
      </c>
      <c r="U192" s="127">
        <v>4</v>
      </c>
      <c r="V192" s="2">
        <v>1</v>
      </c>
      <c r="W192" s="2">
        <v>1</v>
      </c>
      <c r="X192" s="109">
        <v>1</v>
      </c>
    </row>
    <row r="193" spans="2:24" x14ac:dyDescent="0.25">
      <c r="B193">
        <v>20090123</v>
      </c>
      <c r="C193" s="103">
        <v>13328.9</v>
      </c>
      <c r="D193" s="108">
        <v>6879.1</v>
      </c>
      <c r="E193" s="99">
        <v>1.16129E-5</v>
      </c>
      <c r="F193" s="99">
        <v>2.2815200000000001E-5</v>
      </c>
      <c r="G193" s="132">
        <v>6.3735900000000004E-6</v>
      </c>
      <c r="H193" s="133">
        <v>1.26635E-5</v>
      </c>
      <c r="I193" s="99">
        <v>6.3735900000000004E-6</v>
      </c>
      <c r="J193" s="133">
        <v>1.26635E-5</v>
      </c>
      <c r="K193" s="99">
        <v>6.3735900000000004E-6</v>
      </c>
      <c r="L193" s="116">
        <v>1.17216E-5</v>
      </c>
      <c r="M193" s="2">
        <v>2</v>
      </c>
      <c r="N193" s="2">
        <v>10</v>
      </c>
      <c r="O193" s="2">
        <v>5</v>
      </c>
      <c r="P193" s="126">
        <v>0</v>
      </c>
      <c r="Q193" s="106">
        <v>2</v>
      </c>
      <c r="R193" s="127">
        <v>1</v>
      </c>
      <c r="S193" s="2">
        <v>0</v>
      </c>
      <c r="T193" s="2">
        <v>2</v>
      </c>
      <c r="U193" s="127">
        <v>1</v>
      </c>
      <c r="V193" s="2">
        <v>0</v>
      </c>
      <c r="W193" s="2">
        <v>0</v>
      </c>
      <c r="X193" s="109">
        <v>1</v>
      </c>
    </row>
    <row r="194" spans="2:24" x14ac:dyDescent="0.25">
      <c r="B194">
        <v>20090711</v>
      </c>
      <c r="C194" s="103">
        <v>13252.7</v>
      </c>
      <c r="D194" s="108">
        <v>6890.1</v>
      </c>
      <c r="E194" s="99">
        <v>1.2929200000000001E-4</v>
      </c>
      <c r="F194" s="99">
        <v>1.27582E-4</v>
      </c>
      <c r="G194" s="132">
        <v>1.1793799999999999E-4</v>
      </c>
      <c r="H194" s="133">
        <v>1.12744E-4</v>
      </c>
      <c r="I194" s="99">
        <v>1.17503E-4</v>
      </c>
      <c r="J194" s="133">
        <v>1.11908E-4</v>
      </c>
      <c r="K194" s="99">
        <v>1.13212E-4</v>
      </c>
      <c r="L194" s="116">
        <v>1.0375800000000001E-4</v>
      </c>
      <c r="M194" s="2">
        <v>1</v>
      </c>
      <c r="N194" s="2">
        <v>6</v>
      </c>
      <c r="O194" s="2">
        <v>22</v>
      </c>
      <c r="P194" s="126">
        <v>0</v>
      </c>
      <c r="Q194" s="106">
        <v>0</v>
      </c>
      <c r="R194" s="127">
        <v>11</v>
      </c>
      <c r="S194" s="2">
        <v>0</v>
      </c>
      <c r="T194" s="2">
        <v>0</v>
      </c>
      <c r="U194" s="127">
        <v>10</v>
      </c>
      <c r="V194" s="2">
        <v>0</v>
      </c>
      <c r="W194" s="2">
        <v>0</v>
      </c>
      <c r="X194" s="109">
        <v>8</v>
      </c>
    </row>
    <row r="195" spans="2:24" x14ac:dyDescent="0.25">
      <c r="B195">
        <v>20090892</v>
      </c>
      <c r="C195" s="103">
        <v>8423.9</v>
      </c>
      <c r="D195" s="108">
        <v>6440.1</v>
      </c>
      <c r="E195" s="99">
        <v>7.9225600000000003E-5</v>
      </c>
      <c r="F195" s="99">
        <v>8.3395700000000005E-5</v>
      </c>
      <c r="G195" s="132">
        <v>5.2902499999999997E-5</v>
      </c>
      <c r="H195" s="133">
        <v>4.7622800000000001E-5</v>
      </c>
      <c r="I195" s="99">
        <v>3.02544E-5</v>
      </c>
      <c r="J195" s="133">
        <v>2.95127E-5</v>
      </c>
      <c r="K195" s="99">
        <v>1.6152799999999999E-5</v>
      </c>
      <c r="L195" s="116">
        <v>1.2632299999999999E-5</v>
      </c>
      <c r="M195" s="2">
        <v>0</v>
      </c>
      <c r="N195" s="2">
        <v>11</v>
      </c>
      <c r="O195" s="2">
        <v>30</v>
      </c>
      <c r="P195" s="126">
        <v>2</v>
      </c>
      <c r="Q195" s="106">
        <v>2</v>
      </c>
      <c r="R195" s="127">
        <v>11</v>
      </c>
      <c r="S195" s="2">
        <v>0</v>
      </c>
      <c r="T195" s="2">
        <v>0</v>
      </c>
      <c r="U195" s="127">
        <v>5</v>
      </c>
      <c r="V195" s="2">
        <v>0</v>
      </c>
      <c r="W195" s="2">
        <v>0</v>
      </c>
      <c r="X195" s="109">
        <v>1</v>
      </c>
    </row>
    <row r="196" spans="2:24" x14ac:dyDescent="0.25">
      <c r="B196">
        <v>20090965</v>
      </c>
      <c r="C196" s="103">
        <v>16609.2</v>
      </c>
      <c r="D196" s="108">
        <v>7133.5</v>
      </c>
      <c r="E196" s="99">
        <v>1.82053E-5</v>
      </c>
      <c r="F196" s="99">
        <v>3.2295700000000003E-5</v>
      </c>
      <c r="G196" s="134">
        <v>8.9999999999999999E-8</v>
      </c>
      <c r="H196" s="133">
        <v>1.6147899999999999E-6</v>
      </c>
      <c r="I196" s="100">
        <v>8.9999999999999999E-8</v>
      </c>
      <c r="J196" s="135">
        <v>8.9999999999999999E-8</v>
      </c>
      <c r="K196" s="100">
        <v>8.9999999999999999E-8</v>
      </c>
      <c r="L196" s="118">
        <v>8.9999999999999999E-8</v>
      </c>
      <c r="M196" s="2">
        <v>3</v>
      </c>
      <c r="N196" s="2">
        <v>18</v>
      </c>
      <c r="O196" s="2">
        <v>16</v>
      </c>
      <c r="P196" s="126">
        <v>0</v>
      </c>
      <c r="Q196" s="106">
        <v>1</v>
      </c>
      <c r="R196" s="127">
        <v>0</v>
      </c>
      <c r="S196" s="2">
        <v>0</v>
      </c>
      <c r="T196" s="2">
        <v>0</v>
      </c>
      <c r="U196" s="127">
        <v>0</v>
      </c>
      <c r="V196" s="2">
        <v>0</v>
      </c>
      <c r="W196" s="2">
        <v>0</v>
      </c>
      <c r="X196" s="109">
        <v>0</v>
      </c>
    </row>
    <row r="197" spans="2:24" x14ac:dyDescent="0.25">
      <c r="B197">
        <v>20091068</v>
      </c>
      <c r="C197" s="103">
        <v>2747.1</v>
      </c>
      <c r="D197" s="108">
        <v>2737.5</v>
      </c>
      <c r="E197" s="99">
        <v>7.8359100000000007E-5</v>
      </c>
      <c r="F197" s="99">
        <v>1.11508E-4</v>
      </c>
      <c r="G197" s="132">
        <v>6.5255599999999999E-5</v>
      </c>
      <c r="H197" s="133">
        <v>7.1533599999999996E-5</v>
      </c>
      <c r="I197" s="99">
        <v>3.6427799999999997E-5</v>
      </c>
      <c r="J197" s="133">
        <v>4.5760499999999997E-5</v>
      </c>
      <c r="K197" s="99">
        <v>1.8082899999999999E-5</v>
      </c>
      <c r="L197" s="116">
        <v>1.7883399999999999E-5</v>
      </c>
      <c r="M197" s="2">
        <v>0</v>
      </c>
      <c r="N197" s="2">
        <v>19</v>
      </c>
      <c r="O197" s="2">
        <v>20</v>
      </c>
      <c r="P197" s="126">
        <v>1</v>
      </c>
      <c r="Q197" s="106">
        <v>3</v>
      </c>
      <c r="R197" s="127">
        <v>14</v>
      </c>
      <c r="S197" s="2">
        <v>0</v>
      </c>
      <c r="T197" s="2">
        <v>3</v>
      </c>
      <c r="U197" s="127">
        <v>5</v>
      </c>
      <c r="V197" s="2">
        <v>0</v>
      </c>
      <c r="W197" s="2">
        <v>0</v>
      </c>
      <c r="X197" s="109">
        <v>1</v>
      </c>
    </row>
    <row r="198" spans="2:24" x14ac:dyDescent="0.25">
      <c r="B198">
        <v>20091069</v>
      </c>
      <c r="C198" s="103">
        <v>23695.599999999999</v>
      </c>
      <c r="D198" s="108">
        <v>7173.8</v>
      </c>
      <c r="E198" s="99">
        <v>4.38427E-5</v>
      </c>
      <c r="F198" s="99">
        <v>4.7268500000000003E-5</v>
      </c>
      <c r="G198" s="132">
        <v>2.4306399999999999E-6</v>
      </c>
      <c r="H198" s="133">
        <v>6.8243199999999997E-6</v>
      </c>
      <c r="I198" s="99">
        <v>2.4306399999999999E-6</v>
      </c>
      <c r="J198" s="133">
        <v>6.5232499999999998E-6</v>
      </c>
      <c r="K198" s="100">
        <v>8.9999999999999999E-8</v>
      </c>
      <c r="L198" s="118">
        <v>8.9999999999999999E-8</v>
      </c>
      <c r="M198" s="2">
        <v>20</v>
      </c>
      <c r="N198" s="2">
        <v>16</v>
      </c>
      <c r="O198" s="2">
        <v>36</v>
      </c>
      <c r="P198" s="126">
        <v>0</v>
      </c>
      <c r="Q198" s="106">
        <v>1</v>
      </c>
      <c r="R198" s="127">
        <v>4</v>
      </c>
      <c r="S198" s="2">
        <v>0</v>
      </c>
      <c r="T198" s="2">
        <v>0</v>
      </c>
      <c r="U198" s="127">
        <v>4</v>
      </c>
      <c r="V198" s="2">
        <v>0</v>
      </c>
      <c r="W198" s="2">
        <v>0</v>
      </c>
      <c r="X198" s="109">
        <v>0</v>
      </c>
    </row>
    <row r="199" spans="2:24" x14ac:dyDescent="0.25">
      <c r="B199">
        <v>20091094</v>
      </c>
      <c r="C199" s="103">
        <v>6214.5</v>
      </c>
      <c r="D199" s="108">
        <v>5799.7</v>
      </c>
      <c r="E199" s="99">
        <v>2.39459E-4</v>
      </c>
      <c r="F199" s="99">
        <v>2.3449199999999999E-4</v>
      </c>
      <c r="G199" s="132">
        <v>2.1142399999999999E-4</v>
      </c>
      <c r="H199" s="133">
        <v>1.9948500000000001E-4</v>
      </c>
      <c r="I199" s="99">
        <v>1.8813799999999999E-4</v>
      </c>
      <c r="J199" s="133">
        <v>1.8049299999999999E-4</v>
      </c>
      <c r="K199" s="99">
        <v>1.8813799999999999E-4</v>
      </c>
      <c r="L199" s="116">
        <v>1.8049299999999999E-4</v>
      </c>
      <c r="M199" s="2">
        <v>0</v>
      </c>
      <c r="N199" s="2">
        <v>7</v>
      </c>
      <c r="O199" s="2">
        <v>23</v>
      </c>
      <c r="P199" s="126">
        <v>1</v>
      </c>
      <c r="Q199" s="106">
        <v>0</v>
      </c>
      <c r="R199" s="127">
        <v>7</v>
      </c>
      <c r="S199" s="2">
        <v>0</v>
      </c>
      <c r="T199" s="2">
        <v>0</v>
      </c>
      <c r="U199" s="127">
        <v>1</v>
      </c>
      <c r="V199" s="2">
        <v>0</v>
      </c>
      <c r="W199" s="2">
        <v>0</v>
      </c>
      <c r="X199" s="109">
        <v>1</v>
      </c>
    </row>
    <row r="200" spans="2:24" x14ac:dyDescent="0.25">
      <c r="B200">
        <v>20091119</v>
      </c>
      <c r="C200" s="103">
        <v>94093.9</v>
      </c>
      <c r="D200" s="108">
        <v>7425.4</v>
      </c>
      <c r="E200" s="99">
        <v>2.8608299999999998E-5</v>
      </c>
      <c r="F200" s="99">
        <v>4.3339700000000001E-5</v>
      </c>
      <c r="G200" s="132">
        <v>3.9098199999999999E-6</v>
      </c>
      <c r="H200" s="133">
        <v>1.5900899999999999E-5</v>
      </c>
      <c r="I200" s="99">
        <v>3.5425599999999999E-6</v>
      </c>
      <c r="J200" s="133">
        <v>3.9752300000000001E-6</v>
      </c>
      <c r="K200" s="99">
        <v>1.7445E-6</v>
      </c>
      <c r="L200" s="118">
        <v>8.9999999999999999E-8</v>
      </c>
      <c r="M200" s="2">
        <v>35</v>
      </c>
      <c r="N200" s="2">
        <v>18</v>
      </c>
      <c r="O200" s="2">
        <v>17</v>
      </c>
      <c r="P200" s="126">
        <v>2</v>
      </c>
      <c r="Q200" s="106">
        <v>4</v>
      </c>
      <c r="R200" s="127">
        <v>2</v>
      </c>
      <c r="S200" s="2">
        <v>2</v>
      </c>
      <c r="T200" s="2">
        <v>1</v>
      </c>
      <c r="U200" s="127">
        <v>0</v>
      </c>
      <c r="V200" s="2">
        <v>1</v>
      </c>
      <c r="W200" s="2">
        <v>0</v>
      </c>
      <c r="X200" s="109">
        <v>0</v>
      </c>
    </row>
    <row r="201" spans="2:24" x14ac:dyDescent="0.25">
      <c r="B201">
        <v>20091973</v>
      </c>
      <c r="C201" s="103">
        <v>22744</v>
      </c>
      <c r="D201" s="108">
        <v>7105.5</v>
      </c>
      <c r="E201" s="99">
        <v>3.8428199999999999E-5</v>
      </c>
      <c r="F201" s="99">
        <v>4.9951699999999998E-5</v>
      </c>
      <c r="G201" s="132">
        <v>9.8444599999999993E-6</v>
      </c>
      <c r="H201" s="133">
        <v>2.3303999999999999E-5</v>
      </c>
      <c r="I201" s="99">
        <v>7.4387399999999999E-6</v>
      </c>
      <c r="J201" s="133">
        <v>1.82379E-5</v>
      </c>
      <c r="K201" s="99">
        <v>4.1466999999999996E-6</v>
      </c>
      <c r="L201" s="116">
        <v>1.75287E-5</v>
      </c>
      <c r="M201" s="2">
        <v>12</v>
      </c>
      <c r="N201" s="2">
        <v>10</v>
      </c>
      <c r="O201" s="2">
        <v>22</v>
      </c>
      <c r="P201" s="126">
        <v>0</v>
      </c>
      <c r="Q201" s="106">
        <v>2</v>
      </c>
      <c r="R201" s="127">
        <v>4</v>
      </c>
      <c r="S201" s="2">
        <v>0</v>
      </c>
      <c r="T201" s="2">
        <v>0</v>
      </c>
      <c r="U201" s="127">
        <v>3</v>
      </c>
      <c r="V201" s="2">
        <v>0</v>
      </c>
      <c r="W201" s="2">
        <v>1</v>
      </c>
      <c r="X201" s="109">
        <v>1</v>
      </c>
    </row>
    <row r="202" spans="2:24" x14ac:dyDescent="0.25">
      <c r="B202">
        <v>20091980</v>
      </c>
      <c r="C202" s="103">
        <v>44052.1</v>
      </c>
      <c r="D202" s="108">
        <v>7278.8</v>
      </c>
      <c r="E202" s="99">
        <v>2.7733999999999999E-5</v>
      </c>
      <c r="F202" s="99">
        <v>3.5310700000000001E-5</v>
      </c>
      <c r="G202" s="132">
        <v>1.35156E-5</v>
      </c>
      <c r="H202" s="133">
        <v>1.73092E-5</v>
      </c>
      <c r="I202" s="99">
        <v>1.33032E-5</v>
      </c>
      <c r="J202" s="133">
        <v>1.4638600000000001E-5</v>
      </c>
      <c r="K202" s="99">
        <v>1.3041699999999999E-5</v>
      </c>
      <c r="L202" s="116">
        <v>1.4638600000000001E-5</v>
      </c>
      <c r="M202" s="2">
        <v>9</v>
      </c>
      <c r="N202" s="2">
        <v>10</v>
      </c>
      <c r="O202" s="2">
        <v>14</v>
      </c>
      <c r="P202" s="126">
        <v>0</v>
      </c>
      <c r="Q202" s="106">
        <v>1</v>
      </c>
      <c r="R202" s="127">
        <v>3</v>
      </c>
      <c r="S202" s="2">
        <v>1</v>
      </c>
      <c r="T202" s="2">
        <v>0</v>
      </c>
      <c r="U202" s="127">
        <v>1</v>
      </c>
      <c r="V202" s="2">
        <v>0</v>
      </c>
      <c r="W202" s="2">
        <v>0</v>
      </c>
      <c r="X202" s="109">
        <v>1</v>
      </c>
    </row>
    <row r="203" spans="2:24" x14ac:dyDescent="0.25">
      <c r="B203">
        <v>20091981</v>
      </c>
      <c r="C203" s="103">
        <v>42120.6</v>
      </c>
      <c r="D203" s="108">
        <v>7357.8</v>
      </c>
      <c r="E203" s="99">
        <v>4.5978500000000004E-6</v>
      </c>
      <c r="F203" s="99">
        <v>5.1859200000000003E-6</v>
      </c>
      <c r="G203" s="132">
        <v>2.2220099999999999E-7</v>
      </c>
      <c r="H203" s="133">
        <v>1.27202E-6</v>
      </c>
      <c r="I203" s="100">
        <v>8.9999999999999999E-8</v>
      </c>
      <c r="J203" s="135">
        <v>8.9999999999999999E-8</v>
      </c>
      <c r="K203" s="100">
        <v>8.9999999999999999E-8</v>
      </c>
      <c r="L203" s="118">
        <v>8.9999999999999999E-8</v>
      </c>
      <c r="M203" s="2">
        <v>4</v>
      </c>
      <c r="N203" s="2">
        <v>2</v>
      </c>
      <c r="O203" s="2">
        <v>4</v>
      </c>
      <c r="P203" s="126">
        <v>0</v>
      </c>
      <c r="Q203" s="106">
        <v>1</v>
      </c>
      <c r="R203" s="127">
        <v>1</v>
      </c>
      <c r="S203" s="2">
        <v>0</v>
      </c>
      <c r="T203" s="2">
        <v>0</v>
      </c>
      <c r="U203" s="127">
        <v>0</v>
      </c>
      <c r="V203" s="2">
        <v>0</v>
      </c>
      <c r="W203" s="2">
        <v>0</v>
      </c>
      <c r="X203" s="109">
        <v>0</v>
      </c>
    </row>
    <row r="204" spans="2:24" x14ac:dyDescent="0.25">
      <c r="B204">
        <v>20091983</v>
      </c>
      <c r="C204" s="103">
        <v>62947.8</v>
      </c>
      <c r="D204" s="108">
        <v>7414.8</v>
      </c>
      <c r="E204" s="99">
        <v>1.43239E-4</v>
      </c>
      <c r="F204" s="99">
        <v>1.36904E-4</v>
      </c>
      <c r="G204" s="132">
        <v>1.2321200000000001E-4</v>
      </c>
      <c r="H204" s="133">
        <v>1.20495E-4</v>
      </c>
      <c r="I204" s="99">
        <v>1.18088E-4</v>
      </c>
      <c r="J204" s="133">
        <v>1.13699E-4</v>
      </c>
      <c r="K204" s="99">
        <v>1.17402E-4</v>
      </c>
      <c r="L204" s="116">
        <v>1.13699E-4</v>
      </c>
      <c r="M204" s="2">
        <v>27</v>
      </c>
      <c r="N204" s="2">
        <v>4</v>
      </c>
      <c r="O204" s="2">
        <v>20</v>
      </c>
      <c r="P204" s="126">
        <v>5</v>
      </c>
      <c r="Q204" s="106">
        <v>1</v>
      </c>
      <c r="R204" s="127">
        <v>4</v>
      </c>
      <c r="S204" s="2">
        <v>0</v>
      </c>
      <c r="T204" s="2">
        <v>0</v>
      </c>
      <c r="U204" s="127">
        <v>2</v>
      </c>
      <c r="V204" s="2">
        <v>0</v>
      </c>
      <c r="W204" s="2">
        <v>1</v>
      </c>
      <c r="X204" s="109">
        <v>1</v>
      </c>
    </row>
    <row r="205" spans="2:24" x14ac:dyDescent="0.25">
      <c r="B205">
        <v>20092285</v>
      </c>
      <c r="C205" s="103">
        <v>6268.3</v>
      </c>
      <c r="D205" s="108">
        <v>5828</v>
      </c>
      <c r="E205" s="99">
        <v>3.1745599999999998E-4</v>
      </c>
      <c r="F205" s="99">
        <v>3.2266499999999997E-4</v>
      </c>
      <c r="G205" s="132">
        <v>2.9460100000000002E-4</v>
      </c>
      <c r="H205" s="133">
        <v>2.8992900000000002E-4</v>
      </c>
      <c r="I205" s="99">
        <v>2.43031E-4</v>
      </c>
      <c r="J205" s="133">
        <v>2.5089300000000003E-4</v>
      </c>
      <c r="K205" s="99">
        <v>2.10068E-4</v>
      </c>
      <c r="L205" s="116">
        <v>2.0876900000000001E-4</v>
      </c>
      <c r="M205" s="2">
        <v>0</v>
      </c>
      <c r="N205" s="2">
        <v>12</v>
      </c>
      <c r="O205" s="2">
        <v>54</v>
      </c>
      <c r="P205" s="126">
        <v>1</v>
      </c>
      <c r="Q205" s="106">
        <v>2</v>
      </c>
      <c r="R205" s="127">
        <v>41</v>
      </c>
      <c r="S205" s="2">
        <v>0</v>
      </c>
      <c r="T205" s="2">
        <v>3</v>
      </c>
      <c r="U205" s="127">
        <v>26</v>
      </c>
      <c r="V205" s="2">
        <v>0</v>
      </c>
      <c r="W205" s="2">
        <v>0</v>
      </c>
      <c r="X205" s="109">
        <v>20</v>
      </c>
    </row>
    <row r="206" spans="2:24" x14ac:dyDescent="0.25">
      <c r="B206">
        <v>20110089</v>
      </c>
      <c r="C206" s="103">
        <v>21177.5</v>
      </c>
      <c r="D206" s="108">
        <v>7072.4</v>
      </c>
      <c r="E206" s="99">
        <v>2.5506999999999998E-4</v>
      </c>
      <c r="F206" s="99">
        <v>2.89101E-4</v>
      </c>
      <c r="G206" s="132">
        <v>2.27839E-4</v>
      </c>
      <c r="H206" s="133">
        <v>2.6416100000000001E-4</v>
      </c>
      <c r="I206" s="99">
        <v>2.26037E-4</v>
      </c>
      <c r="J206" s="133">
        <v>2.6192099999999997E-4</v>
      </c>
      <c r="K206" s="99">
        <v>1.9629099999999999E-4</v>
      </c>
      <c r="L206" s="116">
        <v>2.2914300000000001E-4</v>
      </c>
      <c r="M206" s="2">
        <v>4</v>
      </c>
      <c r="N206" s="2">
        <v>3</v>
      </c>
      <c r="O206" s="2">
        <v>45</v>
      </c>
      <c r="P206" s="126">
        <v>1</v>
      </c>
      <c r="Q206" s="106">
        <v>3</v>
      </c>
      <c r="R206" s="127">
        <v>21</v>
      </c>
      <c r="S206" s="2">
        <v>0</v>
      </c>
      <c r="T206" s="2">
        <v>2</v>
      </c>
      <c r="U206" s="127">
        <v>21</v>
      </c>
      <c r="V206" s="2">
        <v>2</v>
      </c>
      <c r="W206" s="2">
        <v>1</v>
      </c>
      <c r="X206" s="109">
        <v>14</v>
      </c>
    </row>
    <row r="207" spans="2:24" x14ac:dyDescent="0.25">
      <c r="B207">
        <v>20110129</v>
      </c>
      <c r="C207" s="103">
        <v>24296.5</v>
      </c>
      <c r="D207" s="108">
        <v>7238.4</v>
      </c>
      <c r="E207" s="99">
        <v>2.2934799999999999E-5</v>
      </c>
      <c r="F207" s="99">
        <v>2.2975800000000001E-5</v>
      </c>
      <c r="G207" s="132">
        <v>9.6006200000000006E-6</v>
      </c>
      <c r="H207" s="133">
        <v>1.03441E-5</v>
      </c>
      <c r="I207" s="99">
        <v>9.6006200000000006E-6</v>
      </c>
      <c r="J207" s="133">
        <v>9.9462100000000004E-6</v>
      </c>
      <c r="K207" s="99">
        <v>9.6006200000000006E-6</v>
      </c>
      <c r="L207" s="116">
        <v>9.5483699999999995E-6</v>
      </c>
      <c r="M207" s="2">
        <v>9</v>
      </c>
      <c r="N207" s="2">
        <v>9</v>
      </c>
      <c r="O207" s="2">
        <v>9</v>
      </c>
      <c r="P207" s="126">
        <v>0</v>
      </c>
      <c r="Q207" s="106">
        <v>2</v>
      </c>
      <c r="R207" s="127">
        <v>1</v>
      </c>
      <c r="S207" s="2">
        <v>0</v>
      </c>
      <c r="T207" s="2">
        <v>1</v>
      </c>
      <c r="U207" s="127">
        <v>1</v>
      </c>
      <c r="V207" s="2">
        <v>0</v>
      </c>
      <c r="W207" s="2">
        <v>0</v>
      </c>
      <c r="X207" s="109">
        <v>1</v>
      </c>
    </row>
    <row r="208" spans="2:24" x14ac:dyDescent="0.25">
      <c r="B208">
        <v>20110216</v>
      </c>
      <c r="C208" s="103">
        <v>13923.9</v>
      </c>
      <c r="D208" s="108">
        <v>6875.3</v>
      </c>
      <c r="E208" s="99">
        <v>8.0040299999999993E-5</v>
      </c>
      <c r="F208" s="99">
        <v>8.2724699999999998E-5</v>
      </c>
      <c r="G208" s="132">
        <v>5.8220500000000003E-5</v>
      </c>
      <c r="H208" s="133">
        <v>5.9896899999999999E-5</v>
      </c>
      <c r="I208" s="99">
        <v>5.4859699999999999E-5</v>
      </c>
      <c r="J208" s="133">
        <v>5.6545999999999997E-5</v>
      </c>
      <c r="K208" s="99">
        <v>4.9223800000000001E-5</v>
      </c>
      <c r="L208" s="116">
        <v>4.2095399999999997E-5</v>
      </c>
      <c r="M208" s="2">
        <v>1</v>
      </c>
      <c r="N208" s="2">
        <v>5</v>
      </c>
      <c r="O208" s="2">
        <v>22</v>
      </c>
      <c r="P208" s="126">
        <v>0</v>
      </c>
      <c r="Q208" s="106">
        <v>0</v>
      </c>
      <c r="R208" s="127">
        <v>6</v>
      </c>
      <c r="S208" s="2">
        <v>0</v>
      </c>
      <c r="T208" s="2">
        <v>0</v>
      </c>
      <c r="U208" s="127">
        <v>5</v>
      </c>
      <c r="V208" s="2">
        <v>1</v>
      </c>
      <c r="W208" s="2">
        <v>0</v>
      </c>
      <c r="X208" s="109">
        <v>3</v>
      </c>
    </row>
    <row r="209" spans="2:24" x14ac:dyDescent="0.25">
      <c r="B209">
        <v>20120513</v>
      </c>
      <c r="C209" s="103">
        <v>6851.8</v>
      </c>
      <c r="D209" s="108">
        <v>6008.2</v>
      </c>
      <c r="E209" s="99">
        <v>2.9630800000000001E-5</v>
      </c>
      <c r="F209" s="99">
        <v>4.5773599999999998E-5</v>
      </c>
      <c r="G209" s="132">
        <v>1.74422E-5</v>
      </c>
      <c r="H209" s="133">
        <v>1.7374799999999998E-5</v>
      </c>
      <c r="I209" s="99">
        <v>1.08226E-5</v>
      </c>
      <c r="J209" s="133">
        <v>1.0544699999999999E-5</v>
      </c>
      <c r="K209" s="99">
        <v>1.08226E-5</v>
      </c>
      <c r="L209" s="116">
        <v>9.5860900000000006E-6</v>
      </c>
      <c r="M209" s="2">
        <v>0</v>
      </c>
      <c r="N209" s="2">
        <v>23</v>
      </c>
      <c r="O209" s="2">
        <v>11</v>
      </c>
      <c r="P209" s="126">
        <v>0</v>
      </c>
      <c r="Q209" s="106">
        <v>2</v>
      </c>
      <c r="R209" s="127">
        <v>3</v>
      </c>
      <c r="S209" s="2">
        <v>0</v>
      </c>
      <c r="T209" s="2">
        <v>2</v>
      </c>
      <c r="U209" s="127">
        <v>1</v>
      </c>
      <c r="V209" s="2">
        <v>0</v>
      </c>
      <c r="W209" s="2">
        <v>0</v>
      </c>
      <c r="X209" s="109">
        <v>1</v>
      </c>
    </row>
    <row r="210" spans="2:24" x14ac:dyDescent="0.25">
      <c r="B210">
        <v>20120642</v>
      </c>
      <c r="C210" s="103">
        <v>1429.5</v>
      </c>
      <c r="D210" s="108">
        <v>1424.2</v>
      </c>
      <c r="E210" s="99">
        <v>3.0218500000000001E-6</v>
      </c>
      <c r="F210" s="99">
        <v>1.76922E-5</v>
      </c>
      <c r="G210" s="132">
        <v>3.0218500000000001E-6</v>
      </c>
      <c r="H210" s="133">
        <v>8.5933499999999996E-6</v>
      </c>
      <c r="I210" s="99">
        <v>3.0218500000000001E-6</v>
      </c>
      <c r="J210" s="133">
        <v>3.0329499999999999E-6</v>
      </c>
      <c r="K210" s="100">
        <v>8.9999999999999999E-8</v>
      </c>
      <c r="L210" s="118">
        <v>8.9999999999999999E-8</v>
      </c>
      <c r="M210" s="2">
        <v>0</v>
      </c>
      <c r="N210" s="2">
        <v>7</v>
      </c>
      <c r="O210" s="2">
        <v>1</v>
      </c>
      <c r="P210" s="126">
        <v>0</v>
      </c>
      <c r="Q210" s="106">
        <v>3</v>
      </c>
      <c r="R210" s="127">
        <v>1</v>
      </c>
      <c r="S210" s="2">
        <v>0</v>
      </c>
      <c r="T210" s="2">
        <v>0</v>
      </c>
      <c r="U210" s="127">
        <v>1</v>
      </c>
      <c r="V210" s="2">
        <v>0</v>
      </c>
      <c r="W210" s="2">
        <v>0</v>
      </c>
      <c r="X210" s="109">
        <v>0</v>
      </c>
    </row>
    <row r="211" spans="2:24" x14ac:dyDescent="0.25">
      <c r="B211">
        <v>20120647</v>
      </c>
      <c r="C211" s="103">
        <v>5630.3</v>
      </c>
      <c r="D211" s="108">
        <v>5529.1</v>
      </c>
      <c r="E211" s="99">
        <v>2.0983300000000001E-4</v>
      </c>
      <c r="F211" s="99">
        <v>2.1406600000000001E-4</v>
      </c>
      <c r="G211" s="132">
        <v>1.9436099999999999E-4</v>
      </c>
      <c r="H211" s="133">
        <v>1.9192999999999999E-4</v>
      </c>
      <c r="I211" s="99">
        <v>1.4218999999999999E-4</v>
      </c>
      <c r="J211" s="133">
        <v>1.2747600000000001E-4</v>
      </c>
      <c r="K211" s="99">
        <v>1.66229E-5</v>
      </c>
      <c r="L211" s="116">
        <v>1.10679E-5</v>
      </c>
      <c r="M211" s="2">
        <v>0</v>
      </c>
      <c r="N211" s="2">
        <v>9</v>
      </c>
      <c r="O211" s="2">
        <v>55</v>
      </c>
      <c r="P211" s="126">
        <v>0</v>
      </c>
      <c r="Q211" s="106">
        <v>0</v>
      </c>
      <c r="R211" s="127">
        <v>46</v>
      </c>
      <c r="S211" s="2">
        <v>3</v>
      </c>
      <c r="T211" s="2">
        <v>0</v>
      </c>
      <c r="U211" s="127">
        <v>26</v>
      </c>
      <c r="V211" s="2">
        <v>1</v>
      </c>
      <c r="W211" s="2">
        <v>0</v>
      </c>
      <c r="X211" s="109">
        <v>3</v>
      </c>
    </row>
    <row r="212" spans="2:24" x14ac:dyDescent="0.25">
      <c r="B212">
        <v>20120850</v>
      </c>
      <c r="C212" s="103">
        <v>7826.2</v>
      </c>
      <c r="D212" s="108">
        <v>6306.2</v>
      </c>
      <c r="E212" s="99">
        <v>1.7294300000000001E-5</v>
      </c>
      <c r="F212" s="99">
        <v>3.9729299999999999E-5</v>
      </c>
      <c r="G212" s="132">
        <v>6.1634000000000001E-6</v>
      </c>
      <c r="H212" s="133">
        <v>8.5623400000000004E-6</v>
      </c>
      <c r="I212" s="99">
        <v>2.29977E-6</v>
      </c>
      <c r="J212" s="133">
        <v>2.7399499999999999E-6</v>
      </c>
      <c r="K212" s="99">
        <v>6.4393699999999995E-7</v>
      </c>
      <c r="L212" s="116">
        <v>6.8498699999999996E-7</v>
      </c>
      <c r="M212" s="2">
        <v>1</v>
      </c>
      <c r="N212" s="2">
        <v>27</v>
      </c>
      <c r="O212" s="2">
        <v>11</v>
      </c>
      <c r="P212" s="126">
        <v>0</v>
      </c>
      <c r="Q212" s="106">
        <v>1</v>
      </c>
      <c r="R212" s="127">
        <v>4</v>
      </c>
      <c r="S212" s="2">
        <v>0</v>
      </c>
      <c r="T212" s="2">
        <v>0</v>
      </c>
      <c r="U212" s="127">
        <v>2</v>
      </c>
      <c r="V212" s="2">
        <v>0</v>
      </c>
      <c r="W212" s="2">
        <v>0</v>
      </c>
      <c r="X212" s="109">
        <v>1</v>
      </c>
    </row>
    <row r="213" spans="2:24" x14ac:dyDescent="0.25">
      <c r="B213">
        <v>20120884</v>
      </c>
      <c r="C213" s="103">
        <v>18629.5</v>
      </c>
      <c r="D213" s="108">
        <v>6895.3</v>
      </c>
      <c r="E213" s="99">
        <v>6.8440800000000004E-5</v>
      </c>
      <c r="F213" s="99">
        <v>8.8122900000000003E-5</v>
      </c>
      <c r="G213" s="132">
        <v>5.6653999999999997E-5</v>
      </c>
      <c r="H213" s="133">
        <v>7.5906800000000003E-5</v>
      </c>
      <c r="I213" s="99">
        <v>5.3369099999999997E-5</v>
      </c>
      <c r="J213" s="133">
        <v>7.1939200000000004E-5</v>
      </c>
      <c r="K213" s="99">
        <v>5.3369099999999997E-5</v>
      </c>
      <c r="L213" s="116">
        <v>7.1939200000000004E-5</v>
      </c>
      <c r="M213" s="2">
        <v>4</v>
      </c>
      <c r="N213" s="2">
        <v>5</v>
      </c>
      <c r="O213" s="2">
        <v>16</v>
      </c>
      <c r="P213" s="126">
        <v>0</v>
      </c>
      <c r="Q213" s="106">
        <v>1</v>
      </c>
      <c r="R213" s="127">
        <v>7</v>
      </c>
      <c r="S213" s="2">
        <v>0</v>
      </c>
      <c r="T213" s="2">
        <v>0</v>
      </c>
      <c r="U213" s="127">
        <v>6</v>
      </c>
      <c r="V213" s="2">
        <v>0</v>
      </c>
      <c r="W213" s="2">
        <v>0</v>
      </c>
      <c r="X213" s="109">
        <v>6</v>
      </c>
    </row>
    <row r="214" spans="2:24" x14ac:dyDescent="0.25">
      <c r="B214">
        <v>20120907</v>
      </c>
      <c r="C214" s="103">
        <v>17170.400000000001</v>
      </c>
      <c r="D214" s="108">
        <v>6871.2</v>
      </c>
      <c r="E214" s="99">
        <v>4.76316E-5</v>
      </c>
      <c r="F214" s="99">
        <v>5.6159999999999998E-5</v>
      </c>
      <c r="G214" s="132">
        <v>4.1845399999999997E-5</v>
      </c>
      <c r="H214" s="133">
        <v>4.7882700000000002E-5</v>
      </c>
      <c r="I214" s="99">
        <v>1.00211E-5</v>
      </c>
      <c r="J214" s="133">
        <v>2.2841200000000001E-5</v>
      </c>
      <c r="K214" s="99">
        <v>3.6897800000000001E-6</v>
      </c>
      <c r="L214" s="116">
        <v>7.2295500000000001E-6</v>
      </c>
      <c r="M214" s="2">
        <v>3</v>
      </c>
      <c r="N214" s="2">
        <v>3</v>
      </c>
      <c r="O214" s="2">
        <v>17</v>
      </c>
      <c r="P214" s="126">
        <v>2</v>
      </c>
      <c r="Q214" s="106">
        <v>1</v>
      </c>
      <c r="R214" s="127">
        <v>13</v>
      </c>
      <c r="S214" s="2">
        <v>0</v>
      </c>
      <c r="T214" s="2">
        <v>1</v>
      </c>
      <c r="U214" s="127">
        <v>5</v>
      </c>
      <c r="V214" s="2">
        <v>0</v>
      </c>
      <c r="W214" s="2">
        <v>0</v>
      </c>
      <c r="X214" s="109">
        <v>2</v>
      </c>
    </row>
    <row r="215" spans="2:24" x14ac:dyDescent="0.25">
      <c r="B215">
        <v>20120924</v>
      </c>
      <c r="C215" s="103">
        <v>12582.3</v>
      </c>
      <c r="D215" s="108">
        <v>6644.6</v>
      </c>
      <c r="E215" s="99">
        <v>9.4983300000000006E-6</v>
      </c>
      <c r="F215" s="99">
        <v>2.0586700000000001E-5</v>
      </c>
      <c r="G215" s="132">
        <v>1.9454399999999999E-6</v>
      </c>
      <c r="H215" s="133">
        <v>3.57558E-6</v>
      </c>
      <c r="I215" s="99">
        <v>1.5449100000000001E-6</v>
      </c>
      <c r="J215" s="133">
        <v>2.2753699999999999E-6</v>
      </c>
      <c r="K215" s="99">
        <v>1.5449100000000001E-6</v>
      </c>
      <c r="L215" s="116">
        <v>2.2753699999999999E-6</v>
      </c>
      <c r="M215" s="2">
        <v>3</v>
      </c>
      <c r="N215" s="2">
        <v>19</v>
      </c>
      <c r="O215" s="2">
        <v>7</v>
      </c>
      <c r="P215" s="126">
        <v>0</v>
      </c>
      <c r="Q215" s="106">
        <v>1</v>
      </c>
      <c r="R215" s="127">
        <v>3</v>
      </c>
      <c r="S215" s="2">
        <v>0</v>
      </c>
      <c r="T215" s="2">
        <v>0</v>
      </c>
      <c r="U215" s="127">
        <v>2</v>
      </c>
      <c r="V215" s="2">
        <v>0</v>
      </c>
      <c r="W215" s="2">
        <v>0</v>
      </c>
      <c r="X215" s="109">
        <v>2</v>
      </c>
    </row>
    <row r="216" spans="2:24" x14ac:dyDescent="0.25">
      <c r="B216">
        <v>20120992</v>
      </c>
      <c r="C216" s="103">
        <v>14215.1</v>
      </c>
      <c r="D216" s="108">
        <v>6818.8</v>
      </c>
      <c r="E216" s="99">
        <v>9.6683700000000004E-5</v>
      </c>
      <c r="F216" s="99">
        <v>8.9955899999999997E-5</v>
      </c>
      <c r="G216" s="132">
        <v>8.8479000000000004E-5</v>
      </c>
      <c r="H216" s="133">
        <v>7.8975399999999996E-5</v>
      </c>
      <c r="I216" s="99">
        <v>8.8479000000000004E-5</v>
      </c>
      <c r="J216" s="133">
        <v>7.8236299999999995E-5</v>
      </c>
      <c r="K216" s="99">
        <v>8.8073799999999997E-5</v>
      </c>
      <c r="L216" s="116">
        <v>7.8236299999999995E-5</v>
      </c>
      <c r="M216" s="2">
        <v>5</v>
      </c>
      <c r="N216" s="2">
        <v>10</v>
      </c>
      <c r="O216" s="2">
        <v>7</v>
      </c>
      <c r="P216" s="126">
        <v>1</v>
      </c>
      <c r="Q216" s="106">
        <v>2</v>
      </c>
      <c r="R216" s="127">
        <v>2</v>
      </c>
      <c r="S216" s="2">
        <v>1</v>
      </c>
      <c r="T216" s="2">
        <v>0</v>
      </c>
      <c r="U216" s="127">
        <v>2</v>
      </c>
      <c r="V216" s="2">
        <v>0</v>
      </c>
      <c r="W216" s="2">
        <v>0</v>
      </c>
      <c r="X216" s="109">
        <v>2</v>
      </c>
    </row>
    <row r="217" spans="2:24" x14ac:dyDescent="0.25">
      <c r="B217">
        <v>20121009</v>
      </c>
      <c r="C217" s="103">
        <v>3964.3</v>
      </c>
      <c r="D217" s="108">
        <v>3950.8</v>
      </c>
      <c r="E217" s="99">
        <v>2.97832E-5</v>
      </c>
      <c r="F217" s="99">
        <v>6.1956899999999996E-5</v>
      </c>
      <c r="G217" s="132">
        <v>8.5354400000000007E-6</v>
      </c>
      <c r="H217" s="133">
        <v>1.03869E-5</v>
      </c>
      <c r="I217" s="99">
        <v>4.5401300000000004E-6</v>
      </c>
      <c r="J217" s="133">
        <v>3.0978499999999999E-6</v>
      </c>
      <c r="K217" s="100">
        <v>8.9999999999999999E-8</v>
      </c>
      <c r="L217" s="118">
        <v>8.9999999999999999E-8</v>
      </c>
      <c r="M217" s="2">
        <v>0</v>
      </c>
      <c r="N217" s="2">
        <v>32</v>
      </c>
      <c r="O217" s="2">
        <v>15</v>
      </c>
      <c r="P217" s="126">
        <v>0</v>
      </c>
      <c r="Q217" s="106">
        <v>4</v>
      </c>
      <c r="R217" s="127">
        <v>4</v>
      </c>
      <c r="S217" s="2">
        <v>1</v>
      </c>
      <c r="T217" s="2">
        <v>1</v>
      </c>
      <c r="U217" s="127">
        <v>1</v>
      </c>
      <c r="V217" s="2">
        <v>0</v>
      </c>
      <c r="W217" s="2">
        <v>0</v>
      </c>
      <c r="X217" s="109">
        <v>0</v>
      </c>
    </row>
    <row r="218" spans="2:24" x14ac:dyDescent="0.25">
      <c r="B218">
        <v>20121026</v>
      </c>
      <c r="C218" s="103">
        <v>18400.900000000001</v>
      </c>
      <c r="D218" s="108">
        <v>6939</v>
      </c>
      <c r="E218" s="99">
        <v>1.01374E-4</v>
      </c>
      <c r="F218" s="99">
        <v>1.2128700000000001E-4</v>
      </c>
      <c r="G218" s="132">
        <v>8.1068000000000004E-5</v>
      </c>
      <c r="H218" s="133">
        <v>1.00225E-4</v>
      </c>
      <c r="I218" s="99">
        <v>7.6099099999999998E-5</v>
      </c>
      <c r="J218" s="133">
        <v>9.3792699999999994E-5</v>
      </c>
      <c r="K218" s="99">
        <v>2.7270499999999999E-5</v>
      </c>
      <c r="L218" s="116">
        <v>4.1708700000000003E-5</v>
      </c>
      <c r="M218" s="2">
        <v>5</v>
      </c>
      <c r="N218" s="2">
        <v>8</v>
      </c>
      <c r="O218" s="2">
        <v>33</v>
      </c>
      <c r="P218" s="126">
        <v>1</v>
      </c>
      <c r="Q218" s="106">
        <v>3</v>
      </c>
      <c r="R218" s="127">
        <v>13</v>
      </c>
      <c r="S218" s="2">
        <v>0</v>
      </c>
      <c r="T218" s="2">
        <v>1</v>
      </c>
      <c r="U218" s="127">
        <v>11</v>
      </c>
      <c r="V218" s="2">
        <v>0</v>
      </c>
      <c r="W218" s="2">
        <v>1</v>
      </c>
      <c r="X218" s="109">
        <v>2</v>
      </c>
    </row>
    <row r="219" spans="2:24" x14ac:dyDescent="0.25">
      <c r="B219">
        <v>20121040</v>
      </c>
      <c r="C219" s="103">
        <v>39530</v>
      </c>
      <c r="D219" s="108">
        <v>7250.9</v>
      </c>
      <c r="E219" s="99">
        <v>3.0178199999999998E-5</v>
      </c>
      <c r="F219" s="99">
        <v>3.5843899999999997E-5</v>
      </c>
      <c r="G219" s="132">
        <v>9.6526600000000005E-6</v>
      </c>
      <c r="H219" s="133">
        <v>1.5092199999999999E-5</v>
      </c>
      <c r="I219" s="99">
        <v>9.4705300000000006E-6</v>
      </c>
      <c r="J219" s="133">
        <v>1.11205E-5</v>
      </c>
      <c r="K219" s="100">
        <v>8.9999999999999999E-8</v>
      </c>
      <c r="L219" s="118">
        <v>8.9999999999999999E-8</v>
      </c>
      <c r="M219" s="2">
        <v>20</v>
      </c>
      <c r="N219" s="2">
        <v>13</v>
      </c>
      <c r="O219" s="2">
        <v>22</v>
      </c>
      <c r="P219" s="126">
        <v>0</v>
      </c>
      <c r="Q219" s="106">
        <v>4</v>
      </c>
      <c r="R219" s="127">
        <v>5</v>
      </c>
      <c r="S219" s="2">
        <v>0</v>
      </c>
      <c r="T219" s="2">
        <v>1</v>
      </c>
      <c r="U219" s="127">
        <v>4</v>
      </c>
      <c r="V219" s="2">
        <v>0</v>
      </c>
      <c r="W219" s="2">
        <v>0</v>
      </c>
      <c r="X219" s="109">
        <v>0</v>
      </c>
    </row>
    <row r="220" spans="2:24" x14ac:dyDescent="0.25">
      <c r="B220">
        <v>20121047</v>
      </c>
      <c r="C220" s="103">
        <v>24157.8</v>
      </c>
      <c r="D220" s="108">
        <v>7083.2</v>
      </c>
      <c r="E220" s="99">
        <v>7.98982E-5</v>
      </c>
      <c r="F220" s="99">
        <v>1.1759799999999999E-4</v>
      </c>
      <c r="G220" s="132">
        <v>7.2537200000000001E-5</v>
      </c>
      <c r="H220" s="133">
        <v>1.07942E-4</v>
      </c>
      <c r="I220" s="99">
        <v>6.9169600000000003E-5</v>
      </c>
      <c r="J220" s="133">
        <v>1.03978E-4</v>
      </c>
      <c r="K220" s="99">
        <v>3.41825E-5</v>
      </c>
      <c r="L220" s="116">
        <v>6.1492699999999995E-5</v>
      </c>
      <c r="M220" s="2">
        <v>3</v>
      </c>
      <c r="N220" s="2">
        <v>7</v>
      </c>
      <c r="O220" s="2">
        <v>20</v>
      </c>
      <c r="P220" s="126">
        <v>0</v>
      </c>
      <c r="Q220" s="106">
        <v>1</v>
      </c>
      <c r="R220" s="127">
        <v>14</v>
      </c>
      <c r="S220" s="2">
        <v>2</v>
      </c>
      <c r="T220" s="2">
        <v>0</v>
      </c>
      <c r="U220" s="127">
        <v>11</v>
      </c>
      <c r="V220" s="2">
        <v>2</v>
      </c>
      <c r="W220" s="2">
        <v>2</v>
      </c>
      <c r="X220" s="109">
        <v>3</v>
      </c>
    </row>
    <row r="221" spans="2:24" x14ac:dyDescent="0.25">
      <c r="B221">
        <v>20121105</v>
      </c>
      <c r="C221" s="103">
        <v>9277</v>
      </c>
      <c r="D221" s="108">
        <v>6296.1</v>
      </c>
      <c r="E221" s="99">
        <v>2.6308E-5</v>
      </c>
      <c r="F221" s="99">
        <v>3.7620300000000003E-5</v>
      </c>
      <c r="G221" s="132">
        <v>5.9755699999999996E-6</v>
      </c>
      <c r="H221" s="133">
        <v>8.6904099999999997E-6</v>
      </c>
      <c r="I221" s="100">
        <v>8.9999999999999999E-8</v>
      </c>
      <c r="J221" s="135">
        <v>8.9999999999999999E-8</v>
      </c>
      <c r="K221" s="100">
        <v>8.9999999999999999E-8</v>
      </c>
      <c r="L221" s="118">
        <v>8.9999999999999999E-8</v>
      </c>
      <c r="M221" s="2">
        <v>0</v>
      </c>
      <c r="N221" s="2">
        <v>17</v>
      </c>
      <c r="O221" s="2">
        <v>17</v>
      </c>
      <c r="P221" s="126">
        <v>0</v>
      </c>
      <c r="Q221" s="106">
        <v>4</v>
      </c>
      <c r="R221" s="127">
        <v>2</v>
      </c>
      <c r="S221" s="2">
        <v>0</v>
      </c>
      <c r="T221" s="2">
        <v>0</v>
      </c>
      <c r="U221" s="127">
        <v>0</v>
      </c>
      <c r="V221" s="2">
        <v>0</v>
      </c>
      <c r="W221" s="2">
        <v>0</v>
      </c>
      <c r="X221" s="109">
        <v>0</v>
      </c>
    </row>
    <row r="222" spans="2:24" x14ac:dyDescent="0.25">
      <c r="B222">
        <v>20121116</v>
      </c>
      <c r="C222" s="103">
        <v>24664.5</v>
      </c>
      <c r="D222" s="108">
        <v>6961.3</v>
      </c>
      <c r="E222" s="99">
        <v>3.92598E-5</v>
      </c>
      <c r="F222" s="99">
        <v>7.3635599999999997E-5</v>
      </c>
      <c r="G222" s="132">
        <v>2.9773299999999998E-5</v>
      </c>
      <c r="H222" s="133">
        <v>6.3396899999999996E-5</v>
      </c>
      <c r="I222" s="99">
        <v>2.39937E-5</v>
      </c>
      <c r="J222" s="133">
        <v>5.7605400000000002E-5</v>
      </c>
      <c r="K222" s="99">
        <v>2.39937E-5</v>
      </c>
      <c r="L222" s="116">
        <v>5.12967E-5</v>
      </c>
      <c r="M222" s="2">
        <v>9</v>
      </c>
      <c r="N222" s="2">
        <v>8</v>
      </c>
      <c r="O222" s="2">
        <v>13</v>
      </c>
      <c r="P222" s="126">
        <v>0</v>
      </c>
      <c r="Q222" s="106">
        <v>4</v>
      </c>
      <c r="R222" s="127">
        <v>5</v>
      </c>
      <c r="S222" s="2">
        <v>0</v>
      </c>
      <c r="T222" s="2">
        <v>1</v>
      </c>
      <c r="U222" s="127">
        <v>2</v>
      </c>
      <c r="V222" s="2">
        <v>1</v>
      </c>
      <c r="W222" s="2">
        <v>1</v>
      </c>
      <c r="X222" s="109">
        <v>1</v>
      </c>
    </row>
    <row r="223" spans="2:24" x14ac:dyDescent="0.25">
      <c r="B223">
        <v>20121156</v>
      </c>
      <c r="C223" s="103">
        <v>18682.099999999999</v>
      </c>
      <c r="D223" s="108">
        <v>6944.8</v>
      </c>
      <c r="E223" s="99">
        <v>4.6629099999999997E-6</v>
      </c>
      <c r="F223" s="99">
        <v>8.9152999999999992E-6</v>
      </c>
      <c r="G223" s="132">
        <v>3.4682799999999999E-7</v>
      </c>
      <c r="H223" s="133">
        <v>1.34766E-6</v>
      </c>
      <c r="I223" s="100">
        <v>8.9999999999999999E-8</v>
      </c>
      <c r="J223" s="133">
        <v>5.1833099999999998E-7</v>
      </c>
      <c r="K223" s="100">
        <v>8.9999999999999999E-8</v>
      </c>
      <c r="L223" s="118">
        <v>8.9999999999999999E-8</v>
      </c>
      <c r="M223" s="2">
        <v>5</v>
      </c>
      <c r="N223" s="2">
        <v>12</v>
      </c>
      <c r="O223" s="2">
        <v>2</v>
      </c>
      <c r="P223" s="126">
        <v>1</v>
      </c>
      <c r="Q223" s="106">
        <v>3</v>
      </c>
      <c r="R223" s="127">
        <v>0</v>
      </c>
      <c r="S223" s="2">
        <v>0</v>
      </c>
      <c r="T223" s="2">
        <v>1</v>
      </c>
      <c r="U223" s="127">
        <v>0</v>
      </c>
      <c r="V223" s="2">
        <v>0</v>
      </c>
      <c r="W223" s="2">
        <v>0</v>
      </c>
      <c r="X223" s="109">
        <v>0</v>
      </c>
    </row>
    <row r="224" spans="2:24" x14ac:dyDescent="0.25">
      <c r="B224">
        <v>20121201</v>
      </c>
      <c r="C224" s="103">
        <v>6251.9</v>
      </c>
      <c r="D224" s="108">
        <v>5868.1</v>
      </c>
      <c r="E224" s="99">
        <v>9.94939E-5</v>
      </c>
      <c r="F224" s="99">
        <v>1.09928E-4</v>
      </c>
      <c r="G224" s="132">
        <v>8.90148E-5</v>
      </c>
      <c r="H224" s="133">
        <v>9.3856299999999998E-5</v>
      </c>
      <c r="I224" s="99">
        <v>8.90148E-5</v>
      </c>
      <c r="J224" s="133">
        <v>9.2997499999999999E-5</v>
      </c>
      <c r="K224" s="99">
        <v>7.8535700000000001E-5</v>
      </c>
      <c r="L224" s="116">
        <v>8.7353800000000004E-5</v>
      </c>
      <c r="M224" s="2">
        <v>0</v>
      </c>
      <c r="N224" s="2">
        <v>9</v>
      </c>
      <c r="O224" s="2">
        <v>13</v>
      </c>
      <c r="P224" s="126">
        <v>0</v>
      </c>
      <c r="Q224" s="106">
        <v>2</v>
      </c>
      <c r="R224" s="127">
        <v>7</v>
      </c>
      <c r="S224" s="2">
        <v>0</v>
      </c>
      <c r="T224" s="2">
        <v>0</v>
      </c>
      <c r="U224" s="127">
        <v>7</v>
      </c>
      <c r="V224" s="2">
        <v>0</v>
      </c>
      <c r="W224" s="2">
        <v>1</v>
      </c>
      <c r="X224" s="109">
        <v>5</v>
      </c>
    </row>
    <row r="225" spans="1:24" x14ac:dyDescent="0.25">
      <c r="B225">
        <v>20121208</v>
      </c>
      <c r="C225" s="103">
        <v>19066.8</v>
      </c>
      <c r="D225" s="108">
        <v>7124.5</v>
      </c>
      <c r="E225" s="99">
        <v>5.0219400000000004E-6</v>
      </c>
      <c r="F225" s="99">
        <v>6.77043E-6</v>
      </c>
      <c r="G225" s="134">
        <v>8.9999999999999999E-8</v>
      </c>
      <c r="H225" s="133">
        <v>9.0946100000000002E-7</v>
      </c>
      <c r="I225" s="100">
        <v>8.9999999999999999E-8</v>
      </c>
      <c r="J225" s="133">
        <v>5.0525600000000001E-7</v>
      </c>
      <c r="K225" s="100">
        <v>8.9999999999999999E-8</v>
      </c>
      <c r="L225" s="118">
        <v>8.9999999999999999E-8</v>
      </c>
      <c r="M225" s="2">
        <v>3</v>
      </c>
      <c r="N225" s="2">
        <v>8</v>
      </c>
      <c r="O225" s="2">
        <v>3</v>
      </c>
      <c r="P225" s="126">
        <v>0</v>
      </c>
      <c r="Q225" s="106">
        <v>2</v>
      </c>
      <c r="R225" s="127">
        <v>0</v>
      </c>
      <c r="S225" s="2">
        <v>0</v>
      </c>
      <c r="T225" s="2">
        <v>1</v>
      </c>
      <c r="U225" s="127">
        <v>0</v>
      </c>
      <c r="V225" s="2">
        <v>0</v>
      </c>
      <c r="W225" s="2">
        <v>0</v>
      </c>
      <c r="X225" s="109">
        <v>0</v>
      </c>
    </row>
    <row r="226" spans="1:24" x14ac:dyDescent="0.25">
      <c r="B226">
        <v>20121380</v>
      </c>
      <c r="C226" s="103">
        <v>21613.3</v>
      </c>
      <c r="D226" s="108">
        <v>7177.1</v>
      </c>
      <c r="E226" s="99">
        <v>2.6614900000000002E-5</v>
      </c>
      <c r="F226" s="99">
        <v>2.94914E-5</v>
      </c>
      <c r="G226" s="132">
        <v>3.3310199999999999E-7</v>
      </c>
      <c r="H226" s="133">
        <v>3.41057E-6</v>
      </c>
      <c r="I226" s="99">
        <v>3.3310199999999999E-7</v>
      </c>
      <c r="J226" s="133">
        <v>1.00311E-6</v>
      </c>
      <c r="K226" s="101">
        <v>1.33241E-7</v>
      </c>
      <c r="L226" s="116">
        <v>4.0124299999999999E-7</v>
      </c>
      <c r="M226" s="2">
        <v>5</v>
      </c>
      <c r="N226" s="2">
        <v>6</v>
      </c>
      <c r="O226" s="2">
        <v>24</v>
      </c>
      <c r="P226" s="126">
        <v>0</v>
      </c>
      <c r="Q226" s="106">
        <v>1</v>
      </c>
      <c r="R226" s="127">
        <v>2</v>
      </c>
      <c r="S226" s="2">
        <v>0</v>
      </c>
      <c r="T226" s="2">
        <v>0</v>
      </c>
      <c r="U226" s="127">
        <v>2</v>
      </c>
      <c r="V226" s="2">
        <v>0</v>
      </c>
      <c r="W226" s="2">
        <v>0</v>
      </c>
      <c r="X226" s="109">
        <v>1</v>
      </c>
    </row>
    <row r="227" spans="1:24" x14ac:dyDescent="0.25">
      <c r="C227" s="105"/>
      <c r="D227" s="109"/>
      <c r="E227" s="2"/>
      <c r="F227" s="2"/>
      <c r="G227" s="126"/>
      <c r="H227" s="127"/>
      <c r="I227" s="2"/>
      <c r="J227" s="127"/>
      <c r="K227" s="2"/>
      <c r="L227" s="109"/>
      <c r="M227" s="2"/>
      <c r="N227" s="2"/>
      <c r="O227" s="2"/>
      <c r="P227" s="126"/>
      <c r="Q227" s="106"/>
      <c r="R227" s="127"/>
      <c r="S227" s="2"/>
      <c r="T227" s="2"/>
      <c r="U227" s="127"/>
      <c r="V227" s="2"/>
      <c r="W227" s="2"/>
      <c r="X227" s="109"/>
    </row>
    <row r="228" spans="1:24" x14ac:dyDescent="0.25">
      <c r="A228" t="s">
        <v>1108</v>
      </c>
      <c r="B228">
        <v>20080358</v>
      </c>
      <c r="C228" s="103">
        <v>87763.7</v>
      </c>
      <c r="D228" s="108">
        <v>7408.1</v>
      </c>
      <c r="E228" s="99">
        <v>7.8259500000000005E-5</v>
      </c>
      <c r="F228" s="99">
        <v>7.5604000000000003E-5</v>
      </c>
      <c r="G228" s="132">
        <v>4.6005599999999999E-5</v>
      </c>
      <c r="H228" s="133">
        <v>5.4587199999999998E-5</v>
      </c>
      <c r="I228" s="99">
        <v>4.2183700000000001E-5</v>
      </c>
      <c r="J228" s="133">
        <v>4.5136699999999998E-5</v>
      </c>
      <c r="K228" s="99">
        <v>2.6074600000000002E-6</v>
      </c>
      <c r="L228" s="116">
        <v>4.2315699999999999E-6</v>
      </c>
      <c r="M228" s="2">
        <v>40</v>
      </c>
      <c r="N228" s="2">
        <v>5</v>
      </c>
      <c r="O228" s="2">
        <v>21</v>
      </c>
      <c r="P228" s="126">
        <v>0</v>
      </c>
      <c r="Q228" s="106">
        <v>2</v>
      </c>
      <c r="R228" s="127">
        <v>8</v>
      </c>
      <c r="S228" s="2">
        <v>0</v>
      </c>
      <c r="T228" s="2">
        <v>0</v>
      </c>
      <c r="U228" s="127">
        <v>7</v>
      </c>
      <c r="V228" s="2">
        <v>0</v>
      </c>
      <c r="W228" s="2">
        <v>0</v>
      </c>
      <c r="X228" s="109">
        <v>1</v>
      </c>
    </row>
    <row r="229" spans="1:24" x14ac:dyDescent="0.25">
      <c r="B229">
        <v>20090123</v>
      </c>
      <c r="C229" s="103">
        <v>29710.6</v>
      </c>
      <c r="D229" s="108">
        <v>7168.4</v>
      </c>
      <c r="E229" s="99">
        <v>4.28726E-5</v>
      </c>
      <c r="F229" s="99">
        <v>4.2418700000000001E-5</v>
      </c>
      <c r="G229" s="132">
        <v>7.2450899999999996E-6</v>
      </c>
      <c r="H229" s="133">
        <v>7.5799799999999997E-6</v>
      </c>
      <c r="I229" s="99">
        <v>7.3857700000000001E-7</v>
      </c>
      <c r="J229" s="133">
        <v>2.4780700000000001E-6</v>
      </c>
      <c r="K229" s="100">
        <v>1.9999999999999999E-7</v>
      </c>
      <c r="L229" s="118">
        <v>1.9999999999999999E-7</v>
      </c>
      <c r="M229" s="2">
        <v>16</v>
      </c>
      <c r="N229" s="2">
        <v>6</v>
      </c>
      <c r="O229" s="2">
        <v>20</v>
      </c>
      <c r="P229" s="126">
        <v>0</v>
      </c>
      <c r="Q229" s="106">
        <v>0</v>
      </c>
      <c r="R229" s="127">
        <v>2</v>
      </c>
      <c r="S229" s="2">
        <v>0</v>
      </c>
      <c r="T229" s="2">
        <v>0</v>
      </c>
      <c r="U229" s="127">
        <v>1</v>
      </c>
      <c r="V229" s="2">
        <v>0</v>
      </c>
      <c r="W229" s="2">
        <v>0</v>
      </c>
      <c r="X229" s="109">
        <v>0</v>
      </c>
    </row>
    <row r="230" spans="1:24" x14ac:dyDescent="0.25">
      <c r="B230">
        <v>20090711</v>
      </c>
      <c r="C230" s="103">
        <v>1583.7</v>
      </c>
      <c r="D230" s="108">
        <v>1572.5</v>
      </c>
      <c r="E230" s="99">
        <v>2.77781E-4</v>
      </c>
      <c r="F230" s="99">
        <v>2.8042300000000002E-4</v>
      </c>
      <c r="G230" s="132">
        <v>2.77781E-4</v>
      </c>
      <c r="H230" s="133">
        <v>2.8042300000000002E-4</v>
      </c>
      <c r="I230" s="99">
        <v>2.6128600000000001E-4</v>
      </c>
      <c r="J230" s="133">
        <v>2.5915900000000002E-4</v>
      </c>
      <c r="K230" s="99">
        <v>1.95964E-4</v>
      </c>
      <c r="L230" s="116">
        <v>1.93372E-4</v>
      </c>
      <c r="M230" s="2">
        <v>0</v>
      </c>
      <c r="N230" s="2">
        <v>2</v>
      </c>
      <c r="O230" s="2">
        <v>17</v>
      </c>
      <c r="P230" s="126">
        <v>0</v>
      </c>
      <c r="Q230" s="106">
        <v>2</v>
      </c>
      <c r="R230" s="127">
        <v>17</v>
      </c>
      <c r="S230" s="2">
        <v>0</v>
      </c>
      <c r="T230" s="2">
        <v>0</v>
      </c>
      <c r="U230" s="127">
        <v>14</v>
      </c>
      <c r="V230" s="2">
        <v>0</v>
      </c>
      <c r="W230" s="2">
        <v>0</v>
      </c>
      <c r="X230" s="109">
        <v>7</v>
      </c>
    </row>
    <row r="231" spans="1:24" x14ac:dyDescent="0.25">
      <c r="B231">
        <v>20090892</v>
      </c>
      <c r="C231" s="103">
        <v>12536.9</v>
      </c>
      <c r="D231" s="108">
        <v>6825.4</v>
      </c>
      <c r="E231" s="99">
        <v>1.3927500000000001E-4</v>
      </c>
      <c r="F231" s="99">
        <v>1.36561E-4</v>
      </c>
      <c r="G231" s="132">
        <v>1.09937E-4</v>
      </c>
      <c r="H231" s="133">
        <v>1.0609500000000001E-4</v>
      </c>
      <c r="I231" s="99">
        <v>8.1098099999999995E-5</v>
      </c>
      <c r="J231" s="133">
        <v>7.5935300000000005E-5</v>
      </c>
      <c r="K231" s="100">
        <v>1.9999999999999999E-7</v>
      </c>
      <c r="L231" s="118">
        <v>1.9999999999999999E-7</v>
      </c>
      <c r="M231" s="2">
        <v>3</v>
      </c>
      <c r="N231" s="2">
        <v>8</v>
      </c>
      <c r="O231" s="2">
        <v>28</v>
      </c>
      <c r="P231" s="126">
        <v>1</v>
      </c>
      <c r="Q231" s="106">
        <v>1</v>
      </c>
      <c r="R231" s="127">
        <v>15</v>
      </c>
      <c r="S231" s="2">
        <v>0</v>
      </c>
      <c r="T231" s="2">
        <v>0</v>
      </c>
      <c r="U231" s="127">
        <v>9</v>
      </c>
      <c r="V231" s="2">
        <v>0</v>
      </c>
      <c r="W231" s="2">
        <v>0</v>
      </c>
      <c r="X231" s="109">
        <v>0</v>
      </c>
    </row>
    <row r="232" spans="1:24" x14ac:dyDescent="0.25">
      <c r="B232">
        <v>20090965</v>
      </c>
      <c r="C232" s="103">
        <v>2744</v>
      </c>
      <c r="D232" s="108">
        <v>2717.2</v>
      </c>
      <c r="E232" s="99">
        <v>7.0448600000000002E-5</v>
      </c>
      <c r="F232" s="99">
        <v>9.6908200000000002E-5</v>
      </c>
      <c r="G232" s="132">
        <v>7.0448600000000002E-5</v>
      </c>
      <c r="H232" s="133">
        <v>8.2294999999999997E-5</v>
      </c>
      <c r="I232" s="99">
        <v>6.7402099999999996E-5</v>
      </c>
      <c r="J232" s="133">
        <v>7.6911199999999996E-5</v>
      </c>
      <c r="K232" s="100">
        <v>1.9999999999999999E-7</v>
      </c>
      <c r="L232" s="118">
        <v>1.9999999999999999E-7</v>
      </c>
      <c r="M232" s="2">
        <v>0</v>
      </c>
      <c r="N232" s="2">
        <v>8</v>
      </c>
      <c r="O232" s="2">
        <v>8</v>
      </c>
      <c r="P232" s="126">
        <v>0</v>
      </c>
      <c r="Q232" s="106">
        <v>2</v>
      </c>
      <c r="R232" s="127">
        <v>8</v>
      </c>
      <c r="S232" s="2">
        <v>0</v>
      </c>
      <c r="T232" s="2">
        <v>1</v>
      </c>
      <c r="U232" s="127">
        <v>7</v>
      </c>
      <c r="V232" s="2">
        <v>0</v>
      </c>
      <c r="W232" s="2">
        <v>0</v>
      </c>
      <c r="X232" s="109">
        <v>0</v>
      </c>
    </row>
    <row r="233" spans="1:24" x14ac:dyDescent="0.25">
      <c r="B233">
        <v>20091068</v>
      </c>
      <c r="C233" s="103">
        <v>3734</v>
      </c>
      <c r="D233" s="108">
        <v>3716.4</v>
      </c>
      <c r="E233" s="99">
        <v>9.2347000000000002E-5</v>
      </c>
      <c r="F233" s="99">
        <v>1.06562E-4</v>
      </c>
      <c r="G233" s="132">
        <v>8.9828399999999995E-5</v>
      </c>
      <c r="H233" s="133">
        <v>9.0253999999999993E-5</v>
      </c>
      <c r="I233" s="99">
        <v>6.7441300000000001E-5</v>
      </c>
      <c r="J233" s="133">
        <v>6.5792700000000005E-5</v>
      </c>
      <c r="K233" s="99">
        <v>1.5671E-5</v>
      </c>
      <c r="L233" s="116">
        <v>1.54641E-5</v>
      </c>
      <c r="M233" s="2">
        <v>0</v>
      </c>
      <c r="N233" s="2">
        <v>11</v>
      </c>
      <c r="O233" s="2">
        <v>14</v>
      </c>
      <c r="P233" s="126">
        <v>0</v>
      </c>
      <c r="Q233" s="106">
        <v>2</v>
      </c>
      <c r="R233" s="127">
        <v>13</v>
      </c>
      <c r="S233" s="2">
        <v>0</v>
      </c>
      <c r="T233" s="2">
        <v>0</v>
      </c>
      <c r="U233" s="127">
        <v>9</v>
      </c>
      <c r="V233" s="2">
        <v>0</v>
      </c>
      <c r="W233" s="2">
        <v>0</v>
      </c>
      <c r="X233" s="109">
        <v>2</v>
      </c>
    </row>
    <row r="234" spans="1:24" x14ac:dyDescent="0.25">
      <c r="B234">
        <v>20091069</v>
      </c>
      <c r="C234" s="103">
        <v>37885.800000000003</v>
      </c>
      <c r="D234" s="108">
        <v>7264.1</v>
      </c>
      <c r="E234" s="99">
        <v>6.7601400000000006E-5</v>
      </c>
      <c r="F234" s="99">
        <v>6.9479400000000004E-5</v>
      </c>
      <c r="G234" s="132">
        <v>2.6891599999999998E-5</v>
      </c>
      <c r="H234" s="133">
        <v>2.0714299999999999E-5</v>
      </c>
      <c r="I234" s="99">
        <v>1.6990000000000002E-5</v>
      </c>
      <c r="J234" s="133">
        <v>1.65427E-5</v>
      </c>
      <c r="K234" s="99">
        <v>1.6990000000000002E-5</v>
      </c>
      <c r="L234" s="116">
        <v>1.65427E-5</v>
      </c>
      <c r="M234" s="2">
        <v>17</v>
      </c>
      <c r="N234" s="2">
        <v>11</v>
      </c>
      <c r="O234" s="2">
        <v>26</v>
      </c>
      <c r="P234" s="126">
        <v>1</v>
      </c>
      <c r="Q234" s="106">
        <v>0</v>
      </c>
      <c r="R234" s="127">
        <v>2</v>
      </c>
      <c r="S234" s="2">
        <v>0</v>
      </c>
      <c r="T234" s="2">
        <v>0</v>
      </c>
      <c r="U234" s="127">
        <v>1</v>
      </c>
      <c r="V234" s="2">
        <v>0</v>
      </c>
      <c r="W234" s="2">
        <v>0</v>
      </c>
      <c r="X234" s="109">
        <v>1</v>
      </c>
    </row>
    <row r="235" spans="1:24" x14ac:dyDescent="0.25">
      <c r="B235">
        <v>20091094</v>
      </c>
      <c r="C235" s="103">
        <v>1982.7</v>
      </c>
      <c r="D235" s="108">
        <v>1976.4</v>
      </c>
      <c r="E235" s="99">
        <v>9.1700399999999994E-5</v>
      </c>
      <c r="F235" s="99">
        <v>9.4109600000000004E-5</v>
      </c>
      <c r="G235" s="132">
        <v>8.8011300000000002E-5</v>
      </c>
      <c r="H235" s="133">
        <v>8.8293800000000005E-5</v>
      </c>
      <c r="I235" s="99">
        <v>8.4322199999999997E-5</v>
      </c>
      <c r="J235" s="133">
        <v>8.4592900000000001E-5</v>
      </c>
      <c r="K235" s="99">
        <v>6.32417E-6</v>
      </c>
      <c r="L235" s="116">
        <v>6.3444699999999996E-6</v>
      </c>
      <c r="M235" s="2">
        <v>0</v>
      </c>
      <c r="N235" s="2">
        <v>1</v>
      </c>
      <c r="O235" s="2">
        <v>13</v>
      </c>
      <c r="P235" s="126">
        <v>0</v>
      </c>
      <c r="Q235" s="106">
        <v>0</v>
      </c>
      <c r="R235" s="127">
        <v>12</v>
      </c>
      <c r="S235" s="2">
        <v>0</v>
      </c>
      <c r="T235" s="2">
        <v>0</v>
      </c>
      <c r="U235" s="127">
        <v>11</v>
      </c>
      <c r="V235" s="2">
        <v>0</v>
      </c>
      <c r="W235" s="2">
        <v>0</v>
      </c>
      <c r="X235" s="109">
        <v>1</v>
      </c>
    </row>
    <row r="236" spans="1:24" x14ac:dyDescent="0.25">
      <c r="B236">
        <v>20091119</v>
      </c>
      <c r="C236" s="103">
        <v>26356.2</v>
      </c>
      <c r="D236" s="108">
        <v>7104.7</v>
      </c>
      <c r="E236" s="99">
        <v>7.8896600000000006E-6</v>
      </c>
      <c r="F236" s="99">
        <v>9.4128900000000003E-6</v>
      </c>
      <c r="G236" s="134">
        <v>1.9999999999999999E-7</v>
      </c>
      <c r="H236" s="135">
        <v>1.9999999999999999E-7</v>
      </c>
      <c r="I236" s="100">
        <v>1.9999999999999999E-7</v>
      </c>
      <c r="J236" s="135">
        <v>1.9999999999999999E-7</v>
      </c>
      <c r="K236" s="100">
        <v>1.9999999999999999E-7</v>
      </c>
      <c r="L236" s="118">
        <v>1.9999999999999999E-7</v>
      </c>
      <c r="M236" s="2">
        <v>3</v>
      </c>
      <c r="N236" s="2">
        <v>5</v>
      </c>
      <c r="O236" s="2">
        <v>3</v>
      </c>
      <c r="P236" s="126">
        <v>0</v>
      </c>
      <c r="Q236" s="106">
        <v>0</v>
      </c>
      <c r="R236" s="127">
        <v>0</v>
      </c>
      <c r="S236" s="2">
        <v>0</v>
      </c>
      <c r="T236" s="2">
        <v>0</v>
      </c>
      <c r="U236" s="127">
        <v>0</v>
      </c>
      <c r="V236" s="2">
        <v>0</v>
      </c>
      <c r="W236" s="2">
        <v>0</v>
      </c>
      <c r="X236" s="109">
        <v>0</v>
      </c>
    </row>
    <row r="237" spans="1:24" x14ac:dyDescent="0.25">
      <c r="B237">
        <v>20091973</v>
      </c>
      <c r="C237" s="103">
        <v>12472.4</v>
      </c>
      <c r="D237" s="108">
        <v>6800.3</v>
      </c>
      <c r="E237" s="99">
        <v>4.8340900000000003E-5</v>
      </c>
      <c r="F237" s="99">
        <v>5.1322400000000002E-5</v>
      </c>
      <c r="G237" s="132">
        <v>2.8987800000000001E-5</v>
      </c>
      <c r="H237" s="133">
        <v>3.1346600000000002E-5</v>
      </c>
      <c r="I237" s="99">
        <v>7.7915100000000006E-6</v>
      </c>
      <c r="J237" s="133">
        <v>6.4537200000000003E-6</v>
      </c>
      <c r="K237" s="100">
        <v>1.9999999999999999E-7</v>
      </c>
      <c r="L237" s="118">
        <v>1.9999999999999999E-7</v>
      </c>
      <c r="M237" s="2">
        <v>3</v>
      </c>
      <c r="N237" s="2">
        <v>10</v>
      </c>
      <c r="O237" s="2">
        <v>13</v>
      </c>
      <c r="P237" s="126">
        <v>1</v>
      </c>
      <c r="Q237" s="106">
        <v>2</v>
      </c>
      <c r="R237" s="127">
        <v>5</v>
      </c>
      <c r="S237" s="2">
        <v>0</v>
      </c>
      <c r="T237" s="2">
        <v>0</v>
      </c>
      <c r="U237" s="127">
        <v>1</v>
      </c>
      <c r="V237" s="2">
        <v>0</v>
      </c>
      <c r="W237" s="2">
        <v>0</v>
      </c>
      <c r="X237" s="109">
        <v>0</v>
      </c>
    </row>
    <row r="238" spans="1:24" x14ac:dyDescent="0.25">
      <c r="B238">
        <v>20091980</v>
      </c>
      <c r="C238" s="103">
        <v>24276.2</v>
      </c>
      <c r="D238" s="108">
        <v>7029.6</v>
      </c>
      <c r="E238" s="99">
        <v>2.6687E-5</v>
      </c>
      <c r="F238" s="99">
        <v>2.9134800000000001E-5</v>
      </c>
      <c r="G238" s="132">
        <v>1.7647799999999999E-6</v>
      </c>
      <c r="H238" s="133">
        <v>4.0134700000000002E-6</v>
      </c>
      <c r="I238" s="99">
        <v>1.2482599999999999E-6</v>
      </c>
      <c r="J238" s="133">
        <v>4.0134700000000002E-6</v>
      </c>
      <c r="K238" s="100">
        <v>1.9999999999999999E-7</v>
      </c>
      <c r="L238" s="118">
        <v>1.9999999999999999E-7</v>
      </c>
      <c r="M238" s="2">
        <v>6</v>
      </c>
      <c r="N238" s="2">
        <v>6</v>
      </c>
      <c r="O238" s="2">
        <v>14</v>
      </c>
      <c r="P238" s="126">
        <v>1</v>
      </c>
      <c r="Q238" s="106">
        <v>0</v>
      </c>
      <c r="R238" s="127">
        <v>1</v>
      </c>
      <c r="S238" s="2">
        <v>0</v>
      </c>
      <c r="T238" s="2">
        <v>0</v>
      </c>
      <c r="U238" s="127">
        <v>1</v>
      </c>
      <c r="V238" s="2">
        <v>0</v>
      </c>
      <c r="W238" s="2">
        <v>0</v>
      </c>
      <c r="X238" s="109">
        <v>0</v>
      </c>
    </row>
    <row r="239" spans="1:24" x14ac:dyDescent="0.25">
      <c r="B239">
        <v>20091981</v>
      </c>
      <c r="C239" s="103">
        <v>23107.200000000001</v>
      </c>
      <c r="D239" s="108">
        <v>7012.4</v>
      </c>
      <c r="E239" s="99">
        <v>5.2908600000000002E-6</v>
      </c>
      <c r="F239" s="99">
        <v>5.2154199999999998E-6</v>
      </c>
      <c r="G239" s="134">
        <v>1.9999999999999999E-7</v>
      </c>
      <c r="H239" s="135">
        <v>1.9999999999999999E-7</v>
      </c>
      <c r="I239" s="100">
        <v>1.9999999999999999E-7</v>
      </c>
      <c r="J239" s="135">
        <v>1.9999999999999999E-7</v>
      </c>
      <c r="K239" s="100">
        <v>1.9999999999999999E-7</v>
      </c>
      <c r="L239" s="118">
        <v>1.9999999999999999E-7</v>
      </c>
      <c r="M239" s="2">
        <v>1</v>
      </c>
      <c r="N239" s="2">
        <v>1</v>
      </c>
      <c r="O239" s="2">
        <v>3</v>
      </c>
      <c r="P239" s="126">
        <v>0</v>
      </c>
      <c r="Q239" s="106">
        <v>0</v>
      </c>
      <c r="R239" s="127">
        <v>0</v>
      </c>
      <c r="S239" s="2">
        <v>0</v>
      </c>
      <c r="T239" s="2">
        <v>0</v>
      </c>
      <c r="U239" s="127">
        <v>0</v>
      </c>
      <c r="V239" s="2">
        <v>0</v>
      </c>
      <c r="W239" s="2">
        <v>0</v>
      </c>
      <c r="X239" s="109">
        <v>0</v>
      </c>
    </row>
    <row r="240" spans="1:24" x14ac:dyDescent="0.25">
      <c r="B240">
        <v>20091983</v>
      </c>
      <c r="C240" s="103">
        <v>9257.7999999999993</v>
      </c>
      <c r="D240" s="108">
        <v>6295.3</v>
      </c>
      <c r="E240" s="99">
        <v>8.8039099999999995E-6</v>
      </c>
      <c r="F240" s="99">
        <v>1.07891E-5</v>
      </c>
      <c r="G240" s="134">
        <v>1.9999999999999999E-7</v>
      </c>
      <c r="H240" s="135">
        <v>1.9999999999999999E-7</v>
      </c>
      <c r="I240" s="100">
        <v>1.9999999999999999E-7</v>
      </c>
      <c r="J240" s="135">
        <v>1.9999999999999999E-7</v>
      </c>
      <c r="K240" s="100">
        <v>1.9999999999999999E-7</v>
      </c>
      <c r="L240" s="118">
        <v>1.9999999999999999E-7</v>
      </c>
      <c r="M240" s="2">
        <v>1</v>
      </c>
      <c r="N240" s="2">
        <v>4</v>
      </c>
      <c r="O240" s="2">
        <v>4</v>
      </c>
      <c r="P240" s="126">
        <v>0</v>
      </c>
      <c r="Q240" s="106">
        <v>0</v>
      </c>
      <c r="R240" s="127">
        <v>0</v>
      </c>
      <c r="S240" s="2">
        <v>0</v>
      </c>
      <c r="T240" s="2">
        <v>0</v>
      </c>
      <c r="U240" s="127">
        <v>0</v>
      </c>
      <c r="V240" s="2">
        <v>0</v>
      </c>
      <c r="W240" s="2">
        <v>0</v>
      </c>
      <c r="X240" s="109">
        <v>0</v>
      </c>
    </row>
    <row r="241" spans="2:24" x14ac:dyDescent="0.25">
      <c r="B241">
        <v>20092285</v>
      </c>
      <c r="C241" s="103">
        <v>12326.9</v>
      </c>
      <c r="D241" s="108">
        <v>6754.2</v>
      </c>
      <c r="E241" s="99">
        <v>4.4673099999999998E-5</v>
      </c>
      <c r="F241" s="99">
        <v>5.2445799999999999E-5</v>
      </c>
      <c r="G241" s="132">
        <v>2.5769700000000002E-5</v>
      </c>
      <c r="H241" s="133">
        <v>2.7383199999999999E-5</v>
      </c>
      <c r="I241" s="99">
        <v>1.8649100000000001E-5</v>
      </c>
      <c r="J241" s="133">
        <v>1.39237E-5</v>
      </c>
      <c r="K241" s="100">
        <v>1.9999999999999999E-7</v>
      </c>
      <c r="L241" s="118">
        <v>1.9999999999999999E-7</v>
      </c>
      <c r="M241" s="2">
        <v>0</v>
      </c>
      <c r="N241" s="2">
        <v>8</v>
      </c>
      <c r="O241" s="2">
        <v>14</v>
      </c>
      <c r="P241" s="126">
        <v>0</v>
      </c>
      <c r="Q241" s="106">
        <v>0</v>
      </c>
      <c r="R241" s="127">
        <v>5</v>
      </c>
      <c r="S241" s="2">
        <v>1</v>
      </c>
      <c r="T241" s="2">
        <v>0</v>
      </c>
      <c r="U241" s="127">
        <v>2</v>
      </c>
      <c r="V241" s="2">
        <v>0</v>
      </c>
      <c r="W241" s="2">
        <v>0</v>
      </c>
      <c r="X241" s="109">
        <v>0</v>
      </c>
    </row>
    <row r="242" spans="2:24" x14ac:dyDescent="0.25">
      <c r="B242">
        <v>20110089</v>
      </c>
      <c r="C242" s="103">
        <v>17599.099999999999</v>
      </c>
      <c r="D242" s="108">
        <v>6968.9</v>
      </c>
      <c r="E242" s="99">
        <v>5.1691200000000001E-4</v>
      </c>
      <c r="F242" s="99">
        <v>5.4279399999999998E-4</v>
      </c>
      <c r="G242" s="132">
        <v>4.9369699999999997E-4</v>
      </c>
      <c r="H242" s="133">
        <v>5.1445500000000003E-4</v>
      </c>
      <c r="I242" s="99">
        <v>4.85088E-4</v>
      </c>
      <c r="J242" s="133">
        <v>4.9541199999999998E-4</v>
      </c>
      <c r="K242" s="99">
        <v>4.49226E-4</v>
      </c>
      <c r="L242" s="116">
        <v>4.6902199999999998E-4</v>
      </c>
      <c r="M242" s="2">
        <v>2</v>
      </c>
      <c r="N242" s="2">
        <v>4</v>
      </c>
      <c r="O242" s="2">
        <v>29</v>
      </c>
      <c r="P242" s="126">
        <v>0</v>
      </c>
      <c r="Q242" s="106">
        <v>1</v>
      </c>
      <c r="R242" s="127">
        <v>16</v>
      </c>
      <c r="S242" s="2">
        <v>1</v>
      </c>
      <c r="T242" s="2">
        <v>0</v>
      </c>
      <c r="U242" s="127">
        <v>12</v>
      </c>
      <c r="V242" s="2">
        <v>1</v>
      </c>
      <c r="W242" s="2">
        <v>1</v>
      </c>
      <c r="X242" s="109">
        <v>8</v>
      </c>
    </row>
    <row r="243" spans="2:24" x14ac:dyDescent="0.25">
      <c r="B243">
        <v>20110129</v>
      </c>
      <c r="C243" s="103">
        <v>2613</v>
      </c>
      <c r="D243" s="108">
        <v>2598.6999999999998</v>
      </c>
      <c r="E243" s="99">
        <v>2.09147E-4</v>
      </c>
      <c r="F243" s="99">
        <v>2.27183E-4</v>
      </c>
      <c r="G243" s="132">
        <v>2.09147E-4</v>
      </c>
      <c r="H243" s="133">
        <v>2.1592399999999999E-4</v>
      </c>
      <c r="I243" s="99">
        <v>2.0394799999999999E-4</v>
      </c>
      <c r="J243" s="133">
        <v>2.0386100000000001E-4</v>
      </c>
      <c r="K243" s="99">
        <v>1.62359E-4</v>
      </c>
      <c r="L243" s="116">
        <v>1.6164099999999999E-4</v>
      </c>
      <c r="M243" s="2">
        <v>0</v>
      </c>
      <c r="N243" s="2">
        <v>9</v>
      </c>
      <c r="O243" s="2">
        <v>14</v>
      </c>
      <c r="P243" s="126">
        <v>0</v>
      </c>
      <c r="Q243" s="106">
        <v>4</v>
      </c>
      <c r="R243" s="127">
        <v>14</v>
      </c>
      <c r="S243" s="2">
        <v>0</v>
      </c>
      <c r="T243" s="2">
        <v>1</v>
      </c>
      <c r="U243" s="127">
        <v>13</v>
      </c>
      <c r="V243" s="2">
        <v>0</v>
      </c>
      <c r="W243" s="2">
        <v>0</v>
      </c>
      <c r="X243" s="109">
        <v>8</v>
      </c>
    </row>
    <row r="244" spans="2:24" x14ac:dyDescent="0.25">
      <c r="B244">
        <v>20110216</v>
      </c>
      <c r="C244" s="103">
        <v>880.2</v>
      </c>
      <c r="D244" s="108">
        <v>871.7</v>
      </c>
      <c r="E244" s="99">
        <v>9.6163499999999996E-4</v>
      </c>
      <c r="F244" s="99">
        <v>1.0153600000000001E-3</v>
      </c>
      <c r="G244" s="132">
        <v>9.6163499999999996E-4</v>
      </c>
      <c r="H244" s="133">
        <v>9.9737700000000003E-4</v>
      </c>
      <c r="I244" s="99">
        <v>9.6163499999999996E-4</v>
      </c>
      <c r="J244" s="133">
        <v>9.6860700000000002E-4</v>
      </c>
      <c r="K244" s="99">
        <v>9.2720699999999999E-4</v>
      </c>
      <c r="L244" s="116">
        <v>9.1945700000000004E-4</v>
      </c>
      <c r="M244" s="2">
        <v>0</v>
      </c>
      <c r="N244" s="2">
        <v>15</v>
      </c>
      <c r="O244" s="2">
        <v>48</v>
      </c>
      <c r="P244" s="126">
        <v>0</v>
      </c>
      <c r="Q244" s="106">
        <v>10</v>
      </c>
      <c r="R244" s="127">
        <v>48</v>
      </c>
      <c r="S244" s="2">
        <v>0</v>
      </c>
      <c r="T244" s="2">
        <v>3</v>
      </c>
      <c r="U244" s="127">
        <v>48</v>
      </c>
      <c r="V244" s="2">
        <v>0</v>
      </c>
      <c r="W244" s="2">
        <v>0</v>
      </c>
      <c r="X244" s="109">
        <v>44</v>
      </c>
    </row>
    <row r="245" spans="2:24" x14ac:dyDescent="0.25">
      <c r="B245">
        <v>20120513</v>
      </c>
      <c r="C245" s="103">
        <v>6804</v>
      </c>
      <c r="D245" s="108">
        <v>5997.6</v>
      </c>
      <c r="E245" s="99">
        <v>7.7248400000000004E-5</v>
      </c>
      <c r="F245" s="99">
        <v>9.2339300000000005E-5</v>
      </c>
      <c r="G245" s="132">
        <v>4.7608400000000003E-5</v>
      </c>
      <c r="H245" s="133">
        <v>4.4253199999999998E-5</v>
      </c>
      <c r="I245" s="99">
        <v>3.42473E-5</v>
      </c>
      <c r="J245" s="133">
        <v>3.5019299999999999E-5</v>
      </c>
      <c r="K245" s="99">
        <v>3.42473E-5</v>
      </c>
      <c r="L245" s="116">
        <v>3.5019299999999999E-5</v>
      </c>
      <c r="M245" s="2">
        <v>0</v>
      </c>
      <c r="N245" s="2">
        <v>12</v>
      </c>
      <c r="O245" s="2">
        <v>16</v>
      </c>
      <c r="P245" s="126">
        <v>1</v>
      </c>
      <c r="Q245" s="106">
        <v>1</v>
      </c>
      <c r="R245" s="127">
        <v>4</v>
      </c>
      <c r="S245" s="2">
        <v>0</v>
      </c>
      <c r="T245" s="2">
        <v>0</v>
      </c>
      <c r="U245" s="127">
        <v>2</v>
      </c>
      <c r="V245" s="2">
        <v>0</v>
      </c>
      <c r="W245" s="2">
        <v>0</v>
      </c>
      <c r="X245" s="109">
        <v>2</v>
      </c>
    </row>
    <row r="246" spans="2:24" x14ac:dyDescent="0.25">
      <c r="B246">
        <v>20120642</v>
      </c>
      <c r="C246" s="103">
        <v>16572.2</v>
      </c>
      <c r="D246" s="108">
        <v>7003.1</v>
      </c>
      <c r="E246" s="99">
        <v>6.4314400000000002E-6</v>
      </c>
      <c r="F246" s="99">
        <v>1.0743200000000001E-5</v>
      </c>
      <c r="G246" s="134">
        <v>1.9999999999999999E-7</v>
      </c>
      <c r="H246" s="135">
        <v>1.9999999999999999E-7</v>
      </c>
      <c r="I246" s="100">
        <v>1.9999999999999999E-7</v>
      </c>
      <c r="J246" s="135">
        <v>1.9999999999999999E-7</v>
      </c>
      <c r="K246" s="100">
        <v>1.9999999999999999E-7</v>
      </c>
      <c r="L246" s="118">
        <v>1.9999999999999999E-7</v>
      </c>
      <c r="M246" s="2">
        <v>3</v>
      </c>
      <c r="N246" s="2">
        <v>5</v>
      </c>
      <c r="O246" s="2">
        <v>2</v>
      </c>
      <c r="P246" s="126">
        <v>0</v>
      </c>
      <c r="Q246" s="106">
        <v>0</v>
      </c>
      <c r="R246" s="127">
        <v>0</v>
      </c>
      <c r="S246" s="2">
        <v>0</v>
      </c>
      <c r="T246" s="2">
        <v>0</v>
      </c>
      <c r="U246" s="127">
        <v>0</v>
      </c>
      <c r="V246" s="2">
        <v>0</v>
      </c>
      <c r="W246" s="2">
        <v>0</v>
      </c>
      <c r="X246" s="109">
        <v>0</v>
      </c>
    </row>
    <row r="247" spans="2:24" x14ac:dyDescent="0.25">
      <c r="B247">
        <v>20120647</v>
      </c>
      <c r="C247" s="103">
        <v>11150.4</v>
      </c>
      <c r="D247" s="108">
        <v>6673.4</v>
      </c>
      <c r="E247" s="99">
        <v>8.8089400000000004E-5</v>
      </c>
      <c r="F247" s="99">
        <v>8.5337499999999994E-5</v>
      </c>
      <c r="G247" s="132">
        <v>7.4594900000000006E-5</v>
      </c>
      <c r="H247" s="133">
        <v>6.8583200000000004E-5</v>
      </c>
      <c r="I247" s="99">
        <v>5.9413500000000003E-5</v>
      </c>
      <c r="J247" s="133">
        <v>5.4021000000000003E-5</v>
      </c>
      <c r="K247" s="99">
        <v>1.7711600000000002E-5</v>
      </c>
      <c r="L247" s="116">
        <v>2.8967800000000001E-5</v>
      </c>
      <c r="M247" s="2">
        <v>3</v>
      </c>
      <c r="N247" s="2">
        <v>7</v>
      </c>
      <c r="O247" s="2">
        <v>15</v>
      </c>
      <c r="P247" s="126">
        <v>1</v>
      </c>
      <c r="Q247" s="106">
        <v>0</v>
      </c>
      <c r="R247" s="127">
        <v>9</v>
      </c>
      <c r="S247" s="2">
        <v>1</v>
      </c>
      <c r="T247" s="2">
        <v>0</v>
      </c>
      <c r="U247" s="127">
        <v>5</v>
      </c>
      <c r="V247" s="2">
        <v>1</v>
      </c>
      <c r="W247" s="2">
        <v>1</v>
      </c>
      <c r="X247" s="109">
        <v>1</v>
      </c>
    </row>
    <row r="248" spans="2:24" x14ac:dyDescent="0.25">
      <c r="B248">
        <v>20120850</v>
      </c>
      <c r="C248" s="103">
        <v>17669</v>
      </c>
      <c r="D248" s="108">
        <v>6958.9</v>
      </c>
      <c r="E248" s="99">
        <v>3.8322199999999997E-5</v>
      </c>
      <c r="F248" s="99">
        <v>4.4296299999999998E-5</v>
      </c>
      <c r="G248" s="132">
        <v>5.0859699999999997E-6</v>
      </c>
      <c r="H248" s="133">
        <v>4.6548599999999998E-6</v>
      </c>
      <c r="I248" s="100">
        <v>1.9999999999999999E-7</v>
      </c>
      <c r="J248" s="135">
        <v>1.9999999999999999E-7</v>
      </c>
      <c r="K248" s="100">
        <v>1.9999999999999999E-7</v>
      </c>
      <c r="L248" s="118">
        <v>1.9999999999999999E-7</v>
      </c>
      <c r="M248" s="2">
        <v>6</v>
      </c>
      <c r="N248" s="2">
        <v>12</v>
      </c>
      <c r="O248" s="2">
        <v>19</v>
      </c>
      <c r="P248" s="126">
        <v>1</v>
      </c>
      <c r="Q248" s="106">
        <v>0</v>
      </c>
      <c r="R248" s="127">
        <v>1</v>
      </c>
      <c r="S248" s="2">
        <v>0</v>
      </c>
      <c r="T248" s="2">
        <v>0</v>
      </c>
      <c r="U248" s="127">
        <v>0</v>
      </c>
      <c r="V248" s="2">
        <v>0</v>
      </c>
      <c r="W248" s="2">
        <v>0</v>
      </c>
      <c r="X248" s="109">
        <v>0</v>
      </c>
    </row>
    <row r="249" spans="2:24" x14ac:dyDescent="0.25">
      <c r="B249">
        <v>20120884</v>
      </c>
      <c r="C249" s="103">
        <v>11827.2</v>
      </c>
      <c r="D249" s="108">
        <v>6763.6</v>
      </c>
      <c r="E249" s="99">
        <v>1.37207E-4</v>
      </c>
      <c r="F249" s="99">
        <v>1.2653E-4</v>
      </c>
      <c r="G249" s="132">
        <v>1.2766599999999999E-4</v>
      </c>
      <c r="H249" s="133">
        <v>1.1448E-4</v>
      </c>
      <c r="I249" s="99">
        <v>1.2766599999999999E-4</v>
      </c>
      <c r="J249" s="133">
        <v>1.1448E-4</v>
      </c>
      <c r="K249" s="99">
        <v>1.04695E-4</v>
      </c>
      <c r="L249" s="116">
        <v>9.2541500000000002E-5</v>
      </c>
      <c r="M249" s="2">
        <v>0</v>
      </c>
      <c r="N249" s="2">
        <v>3</v>
      </c>
      <c r="O249" s="2">
        <v>12</v>
      </c>
      <c r="P249" s="126">
        <v>0</v>
      </c>
      <c r="Q249" s="106">
        <v>0</v>
      </c>
      <c r="R249" s="127">
        <v>6</v>
      </c>
      <c r="S249" s="2">
        <v>0</v>
      </c>
      <c r="T249" s="2">
        <v>0</v>
      </c>
      <c r="U249" s="127">
        <v>6</v>
      </c>
      <c r="V249" s="2">
        <v>0</v>
      </c>
      <c r="W249" s="2">
        <v>0</v>
      </c>
      <c r="X249" s="109">
        <v>3</v>
      </c>
    </row>
    <row r="250" spans="2:24" x14ac:dyDescent="0.25">
      <c r="B250">
        <v>20120907</v>
      </c>
      <c r="C250" s="103">
        <v>6002.1</v>
      </c>
      <c r="D250" s="108">
        <v>5686.6</v>
      </c>
      <c r="E250" s="99">
        <v>1.6486699999999999E-4</v>
      </c>
      <c r="F250" s="99">
        <v>1.6703099999999999E-4</v>
      </c>
      <c r="G250" s="132">
        <v>1.54248E-4</v>
      </c>
      <c r="H250" s="133">
        <v>1.5269799999999999E-4</v>
      </c>
      <c r="I250" s="99">
        <v>1.3614200000000001E-4</v>
      </c>
      <c r="J250" s="133">
        <v>1.35609E-4</v>
      </c>
      <c r="K250" s="99">
        <v>1.21866E-4</v>
      </c>
      <c r="L250" s="116">
        <v>1.20726E-4</v>
      </c>
      <c r="M250" s="2">
        <v>0</v>
      </c>
      <c r="N250" s="2">
        <v>4</v>
      </c>
      <c r="O250" s="2">
        <v>12</v>
      </c>
      <c r="P250" s="126">
        <v>0</v>
      </c>
      <c r="Q250" s="106">
        <v>1</v>
      </c>
      <c r="R250" s="127">
        <v>8</v>
      </c>
      <c r="S250" s="2">
        <v>0</v>
      </c>
      <c r="T250" s="2">
        <v>0</v>
      </c>
      <c r="U250" s="127">
        <v>5</v>
      </c>
      <c r="V250" s="2">
        <v>0</v>
      </c>
      <c r="W250" s="2">
        <v>0</v>
      </c>
      <c r="X250" s="109">
        <v>2</v>
      </c>
    </row>
    <row r="251" spans="2:24" x14ac:dyDescent="0.25">
      <c r="B251">
        <v>20120924</v>
      </c>
      <c r="C251" s="103">
        <v>3433.4</v>
      </c>
      <c r="D251" s="108">
        <v>3405.6</v>
      </c>
      <c r="E251" s="99">
        <v>3.4390400000000002E-5</v>
      </c>
      <c r="F251" s="99">
        <v>9.2354299999999998E-5</v>
      </c>
      <c r="G251" s="132">
        <v>1.9782100000000002E-5</v>
      </c>
      <c r="H251" s="133">
        <v>2.0864099999999999E-5</v>
      </c>
      <c r="I251" s="99">
        <v>1.7042999999999999E-5</v>
      </c>
      <c r="J251" s="133">
        <v>1.71822E-5</v>
      </c>
      <c r="K251" s="99">
        <v>5.4781199999999998E-6</v>
      </c>
      <c r="L251" s="116">
        <v>5.52285E-6</v>
      </c>
      <c r="M251" s="2">
        <v>0</v>
      </c>
      <c r="N251" s="2">
        <v>31</v>
      </c>
      <c r="O251" s="2">
        <v>12</v>
      </c>
      <c r="P251" s="126">
        <v>0</v>
      </c>
      <c r="Q251" s="106">
        <v>1</v>
      </c>
      <c r="R251" s="127">
        <v>7</v>
      </c>
      <c r="S251" s="2">
        <v>0</v>
      </c>
      <c r="T251" s="2">
        <v>0</v>
      </c>
      <c r="U251" s="127">
        <v>6</v>
      </c>
      <c r="V251" s="2">
        <v>0</v>
      </c>
      <c r="W251" s="2">
        <v>0</v>
      </c>
      <c r="X251" s="109">
        <v>2</v>
      </c>
    </row>
    <row r="252" spans="2:24" x14ac:dyDescent="0.25">
      <c r="B252">
        <v>20120992</v>
      </c>
      <c r="C252" s="103">
        <v>5263.5</v>
      </c>
      <c r="D252" s="108">
        <v>5187.3999999999996</v>
      </c>
      <c r="E252" s="99">
        <v>7.7424000000000006E-6</v>
      </c>
      <c r="F252" s="99">
        <v>2.98125E-5</v>
      </c>
      <c r="G252" s="134">
        <v>1.9999999999999999E-7</v>
      </c>
      <c r="H252" s="133">
        <v>1.20861E-6</v>
      </c>
      <c r="I252" s="100">
        <v>1.9999999999999999E-7</v>
      </c>
      <c r="J252" s="135">
        <v>1.9999999999999999E-7</v>
      </c>
      <c r="K252" s="100">
        <v>1.9999999999999999E-7</v>
      </c>
      <c r="L252" s="118">
        <v>1.9999999999999999E-7</v>
      </c>
      <c r="M252" s="2">
        <v>0</v>
      </c>
      <c r="N252" s="2">
        <v>17</v>
      </c>
      <c r="O252" s="2">
        <v>3</v>
      </c>
      <c r="P252" s="126">
        <v>0</v>
      </c>
      <c r="Q252" s="106">
        <v>2</v>
      </c>
      <c r="R252" s="127">
        <v>0</v>
      </c>
      <c r="S252" s="2">
        <v>0</v>
      </c>
      <c r="T252" s="2">
        <v>0</v>
      </c>
      <c r="U252" s="127">
        <v>0</v>
      </c>
      <c r="V252" s="2">
        <v>0</v>
      </c>
      <c r="W252" s="2">
        <v>0</v>
      </c>
      <c r="X252" s="109">
        <v>0</v>
      </c>
    </row>
    <row r="253" spans="2:24" x14ac:dyDescent="0.25">
      <c r="B253">
        <v>20121009</v>
      </c>
      <c r="C253" s="103">
        <v>25441.599999999999</v>
      </c>
      <c r="D253" s="108">
        <v>6918.9</v>
      </c>
      <c r="E253" s="99">
        <v>6.4893299999999998E-5</v>
      </c>
      <c r="F253" s="99">
        <v>6.5394099999999998E-5</v>
      </c>
      <c r="G253" s="132">
        <v>4.7232500000000001E-6</v>
      </c>
      <c r="H253" s="133">
        <v>7.7023099999999998E-6</v>
      </c>
      <c r="I253" s="99">
        <v>5.75004E-7</v>
      </c>
      <c r="J253" s="133">
        <v>7.0982099999999999E-6</v>
      </c>
      <c r="K253" s="101">
        <v>5.75004E-7</v>
      </c>
      <c r="L253" s="116">
        <v>2.1143600000000002E-6</v>
      </c>
      <c r="M253" s="2">
        <v>6</v>
      </c>
      <c r="N253" s="2">
        <v>8</v>
      </c>
      <c r="O253" s="2">
        <v>31</v>
      </c>
      <c r="P253" s="126">
        <v>0</v>
      </c>
      <c r="Q253" s="106">
        <v>1</v>
      </c>
      <c r="R253" s="127">
        <v>2</v>
      </c>
      <c r="S253" s="2">
        <v>0</v>
      </c>
      <c r="T253" s="2">
        <v>1</v>
      </c>
      <c r="U253" s="127">
        <v>1</v>
      </c>
      <c r="V253" s="2">
        <v>0</v>
      </c>
      <c r="W253" s="2">
        <v>0</v>
      </c>
      <c r="X253" s="109">
        <v>1</v>
      </c>
    </row>
    <row r="254" spans="2:24" x14ac:dyDescent="0.25">
      <c r="B254">
        <v>20121026</v>
      </c>
      <c r="C254" s="103">
        <v>11119.2</v>
      </c>
      <c r="D254" s="108">
        <v>6679.6</v>
      </c>
      <c r="E254" s="99">
        <v>1.14369E-4</v>
      </c>
      <c r="F254" s="99">
        <v>1.2374200000000001E-4</v>
      </c>
      <c r="G254" s="132">
        <v>9.7077000000000006E-5</v>
      </c>
      <c r="H254" s="133">
        <v>9.6365099999999997E-5</v>
      </c>
      <c r="I254" s="99">
        <v>6.4843299999999996E-5</v>
      </c>
      <c r="J254" s="133">
        <v>7.2743099999999998E-5</v>
      </c>
      <c r="K254" s="99">
        <v>6.4843299999999996E-5</v>
      </c>
      <c r="L254" s="116">
        <v>6.6172800000000004E-5</v>
      </c>
      <c r="M254" s="2">
        <v>3</v>
      </c>
      <c r="N254" s="2">
        <v>14</v>
      </c>
      <c r="O254" s="2">
        <v>18</v>
      </c>
      <c r="P254" s="126">
        <v>1</v>
      </c>
      <c r="Q254" s="106">
        <v>2</v>
      </c>
      <c r="R254" s="127">
        <v>11</v>
      </c>
      <c r="S254" s="2">
        <v>0</v>
      </c>
      <c r="T254" s="2">
        <v>2</v>
      </c>
      <c r="U254" s="127">
        <v>5</v>
      </c>
      <c r="V254" s="2">
        <v>0</v>
      </c>
      <c r="W254" s="2">
        <v>0</v>
      </c>
      <c r="X254" s="109">
        <v>5</v>
      </c>
    </row>
    <row r="255" spans="2:24" x14ac:dyDescent="0.25">
      <c r="B255">
        <v>20121040</v>
      </c>
      <c r="C255" s="103">
        <v>844.5</v>
      </c>
      <c r="D255" s="108">
        <v>838.6</v>
      </c>
      <c r="E255" s="99">
        <v>1.7323600000000001E-5</v>
      </c>
      <c r="F255" s="99">
        <v>2.7413700000000001E-5</v>
      </c>
      <c r="G255" s="132">
        <v>1.7323600000000001E-5</v>
      </c>
      <c r="H255" s="133">
        <v>2.7413700000000001E-5</v>
      </c>
      <c r="I255" s="99">
        <v>1.7323600000000001E-5</v>
      </c>
      <c r="J255" s="133">
        <v>1.74451E-5</v>
      </c>
      <c r="K255" s="99">
        <v>9.8991800000000003E-6</v>
      </c>
      <c r="L255" s="116">
        <v>9.9686199999999994E-6</v>
      </c>
      <c r="M255" s="2">
        <v>0</v>
      </c>
      <c r="N255" s="2">
        <v>2</v>
      </c>
      <c r="O255" s="2">
        <v>2</v>
      </c>
      <c r="P255" s="126">
        <v>0</v>
      </c>
      <c r="Q255" s="106">
        <v>2</v>
      </c>
      <c r="R255" s="127">
        <v>2</v>
      </c>
      <c r="S255" s="2">
        <v>0</v>
      </c>
      <c r="T255" s="2">
        <v>0</v>
      </c>
      <c r="U255" s="127">
        <v>2</v>
      </c>
      <c r="V255" s="2">
        <v>0</v>
      </c>
      <c r="W255" s="2">
        <v>0</v>
      </c>
      <c r="X255" s="109">
        <v>1</v>
      </c>
    </row>
    <row r="256" spans="2:24" x14ac:dyDescent="0.25">
      <c r="B256">
        <v>20121047</v>
      </c>
      <c r="C256" s="103">
        <v>10562.6</v>
      </c>
      <c r="D256" s="108">
        <v>6621.1</v>
      </c>
      <c r="E256" s="99">
        <v>1.8173000000000001E-4</v>
      </c>
      <c r="F256" s="99">
        <v>2.1321400000000001E-4</v>
      </c>
      <c r="G256" s="132">
        <v>5.97522E-5</v>
      </c>
      <c r="H256" s="133">
        <v>9.2797600000000001E-5</v>
      </c>
      <c r="I256" s="99">
        <v>4.7682999999999997E-5</v>
      </c>
      <c r="J256" s="133">
        <v>5.3658500000000001E-5</v>
      </c>
      <c r="K256" s="99">
        <v>3.0469700000000001E-5</v>
      </c>
      <c r="L256" s="116">
        <v>2.41463E-5</v>
      </c>
      <c r="M256" s="2">
        <v>3</v>
      </c>
      <c r="N256" s="2">
        <v>10</v>
      </c>
      <c r="O256" s="2">
        <v>66</v>
      </c>
      <c r="P256" s="126">
        <v>4</v>
      </c>
      <c r="Q256" s="106">
        <v>9</v>
      </c>
      <c r="R256" s="127">
        <v>11</v>
      </c>
      <c r="S256" s="2">
        <v>3</v>
      </c>
      <c r="T256" s="2">
        <v>2</v>
      </c>
      <c r="U256" s="127">
        <v>8</v>
      </c>
      <c r="V256" s="2">
        <v>2</v>
      </c>
      <c r="W256" s="2">
        <v>0</v>
      </c>
      <c r="X256" s="109">
        <v>3</v>
      </c>
    </row>
    <row r="257" spans="1:24" x14ac:dyDescent="0.25">
      <c r="B257">
        <v>20121105</v>
      </c>
      <c r="C257" s="103">
        <v>7449</v>
      </c>
      <c r="D257" s="108">
        <v>6043.9</v>
      </c>
      <c r="E257" s="99">
        <v>2.52499E-5</v>
      </c>
      <c r="F257" s="99">
        <v>3.9592100000000003E-5</v>
      </c>
      <c r="G257" s="132">
        <v>7.5749799999999998E-6</v>
      </c>
      <c r="H257" s="133">
        <v>1.34855E-5</v>
      </c>
      <c r="I257" s="99">
        <v>3.7874899999999999E-6</v>
      </c>
      <c r="J257" s="133">
        <v>3.9765E-6</v>
      </c>
      <c r="K257" s="100">
        <v>1.9999999999999999E-7</v>
      </c>
      <c r="L257" s="118">
        <v>1.9999999999999999E-7</v>
      </c>
      <c r="M257" s="2">
        <v>1</v>
      </c>
      <c r="N257" s="2">
        <v>11</v>
      </c>
      <c r="O257" s="2">
        <v>9</v>
      </c>
      <c r="P257" s="126">
        <v>0</v>
      </c>
      <c r="Q257" s="106">
        <v>3</v>
      </c>
      <c r="R257" s="127">
        <v>2</v>
      </c>
      <c r="S257" s="2">
        <v>0</v>
      </c>
      <c r="T257" s="2">
        <v>0</v>
      </c>
      <c r="U257" s="127">
        <v>1</v>
      </c>
      <c r="V257" s="2">
        <v>0</v>
      </c>
      <c r="W257" s="2">
        <v>0</v>
      </c>
      <c r="X257" s="109">
        <v>0</v>
      </c>
    </row>
    <row r="258" spans="1:24" x14ac:dyDescent="0.25">
      <c r="B258">
        <v>20121116</v>
      </c>
      <c r="C258" s="103">
        <v>5174</v>
      </c>
      <c r="D258" s="108">
        <v>5153.6000000000004</v>
      </c>
      <c r="E258" s="99">
        <v>1.81156E-4</v>
      </c>
      <c r="F258" s="99">
        <v>2.1999399999999999E-4</v>
      </c>
      <c r="G258" s="132">
        <v>9.3102600000000005E-5</v>
      </c>
      <c r="H258" s="133">
        <v>8.6983800000000006E-5</v>
      </c>
      <c r="I258" s="99">
        <v>4.60464E-5</v>
      </c>
      <c r="J258" s="133">
        <v>4.0349100000000003E-5</v>
      </c>
      <c r="K258" s="99">
        <v>2.90819E-5</v>
      </c>
      <c r="L258" s="116">
        <v>2.3722899999999999E-5</v>
      </c>
      <c r="M258" s="2">
        <v>2</v>
      </c>
      <c r="N258" s="2">
        <v>33</v>
      </c>
      <c r="O258" s="2">
        <v>53</v>
      </c>
      <c r="P258" s="126">
        <v>3</v>
      </c>
      <c r="Q258" s="106">
        <v>1</v>
      </c>
      <c r="R258" s="127">
        <v>20</v>
      </c>
      <c r="S258" s="2">
        <v>2</v>
      </c>
      <c r="T258" s="2">
        <v>0</v>
      </c>
      <c r="U258" s="127">
        <v>10</v>
      </c>
      <c r="V258" s="2">
        <v>2</v>
      </c>
      <c r="W258" s="2">
        <v>0</v>
      </c>
      <c r="X258" s="109">
        <v>6</v>
      </c>
    </row>
    <row r="259" spans="1:24" x14ac:dyDescent="0.25">
      <c r="B259">
        <v>20121156</v>
      </c>
      <c r="C259" s="103">
        <v>3636.4</v>
      </c>
      <c r="D259" s="108">
        <v>3622.6</v>
      </c>
      <c r="E259" s="99">
        <v>2.9827199999999998E-4</v>
      </c>
      <c r="F259" s="99">
        <v>3.4268100000000001E-4</v>
      </c>
      <c r="G259" s="132">
        <v>2.6493900000000001E-4</v>
      </c>
      <c r="H259" s="133">
        <v>2.6710699999999999E-4</v>
      </c>
      <c r="I259" s="99">
        <v>1.8993999999999999E-4</v>
      </c>
      <c r="J259" s="133">
        <v>1.9787799999999999E-4</v>
      </c>
      <c r="K259" s="99">
        <v>8.2182799999999995E-5</v>
      </c>
      <c r="L259" s="116">
        <v>7.5574400000000006E-5</v>
      </c>
      <c r="M259" s="2">
        <v>0</v>
      </c>
      <c r="N259" s="2">
        <v>24</v>
      </c>
      <c r="O259" s="2">
        <v>53</v>
      </c>
      <c r="P259" s="126">
        <v>0</v>
      </c>
      <c r="Q259" s="106">
        <v>1</v>
      </c>
      <c r="R259" s="127">
        <v>42</v>
      </c>
      <c r="S259" s="2">
        <v>0</v>
      </c>
      <c r="T259" s="2">
        <v>2</v>
      </c>
      <c r="U259" s="127">
        <v>25</v>
      </c>
      <c r="V259" s="2">
        <v>1</v>
      </c>
      <c r="W259" s="2">
        <v>0</v>
      </c>
      <c r="X259" s="109">
        <v>8</v>
      </c>
    </row>
    <row r="260" spans="1:24" x14ac:dyDescent="0.25">
      <c r="B260">
        <v>20121201</v>
      </c>
      <c r="C260" s="103">
        <v>272.7</v>
      </c>
      <c r="D260" s="108">
        <v>271.3</v>
      </c>
      <c r="E260" s="99">
        <v>1.0309399999999999E-3</v>
      </c>
      <c r="F260" s="99">
        <v>1.25551E-3</v>
      </c>
      <c r="G260" s="132">
        <v>1.0309399999999999E-3</v>
      </c>
      <c r="H260" s="133">
        <v>1.25551E-3</v>
      </c>
      <c r="I260" s="99">
        <v>1.0309399999999999E-3</v>
      </c>
      <c r="J260" s="133">
        <v>1.25551E-3</v>
      </c>
      <c r="K260" s="99">
        <v>1.0309399999999999E-3</v>
      </c>
      <c r="L260" s="116">
        <v>1.1322700000000001E-3</v>
      </c>
      <c r="M260" s="2">
        <v>0</v>
      </c>
      <c r="N260" s="2">
        <v>22</v>
      </c>
      <c r="O260" s="2">
        <v>36</v>
      </c>
      <c r="P260" s="126">
        <v>0</v>
      </c>
      <c r="Q260" s="106">
        <v>22</v>
      </c>
      <c r="R260" s="127">
        <v>36</v>
      </c>
      <c r="S260" s="2">
        <v>0</v>
      </c>
      <c r="T260" s="2">
        <v>22</v>
      </c>
      <c r="U260" s="127">
        <v>36</v>
      </c>
      <c r="V260" s="2">
        <v>0</v>
      </c>
      <c r="W260" s="2">
        <v>9</v>
      </c>
      <c r="X260" s="109">
        <v>36</v>
      </c>
    </row>
    <row r="261" spans="1:24" x14ac:dyDescent="0.25">
      <c r="B261">
        <v>20121208</v>
      </c>
      <c r="C261" s="103">
        <v>4495.8</v>
      </c>
      <c r="D261" s="108">
        <v>4475.8</v>
      </c>
      <c r="E261" s="99">
        <v>4.78791E-5</v>
      </c>
      <c r="F261" s="99">
        <v>8.0778800000000007E-5</v>
      </c>
      <c r="G261" s="132">
        <v>9.7617599999999992E-6</v>
      </c>
      <c r="H261" s="133">
        <v>1.0039E-5</v>
      </c>
      <c r="I261" s="99">
        <v>9.7617599999999992E-6</v>
      </c>
      <c r="J261" s="133">
        <v>9.33859E-6</v>
      </c>
      <c r="K261" s="99">
        <v>7.66996E-6</v>
      </c>
      <c r="L261" s="116">
        <v>7.4708700000000004E-6</v>
      </c>
      <c r="M261" s="2">
        <v>0</v>
      </c>
      <c r="N261" s="2">
        <v>23</v>
      </c>
      <c r="O261" s="2">
        <v>19</v>
      </c>
      <c r="P261" s="126">
        <v>0</v>
      </c>
      <c r="Q261" s="106">
        <v>1</v>
      </c>
      <c r="R261" s="127">
        <v>5</v>
      </c>
      <c r="S261" s="2">
        <v>0</v>
      </c>
      <c r="T261" s="2">
        <v>0</v>
      </c>
      <c r="U261" s="127">
        <v>5</v>
      </c>
      <c r="V261" s="2">
        <v>0</v>
      </c>
      <c r="W261" s="2">
        <v>0</v>
      </c>
      <c r="X261" s="109">
        <v>4</v>
      </c>
    </row>
    <row r="262" spans="1:24" x14ac:dyDescent="0.25">
      <c r="B262">
        <v>20121380</v>
      </c>
      <c r="C262" s="103">
        <v>4404.5</v>
      </c>
      <c r="D262" s="108">
        <v>4388.8</v>
      </c>
      <c r="E262" s="99">
        <v>9.3473199999999997E-4</v>
      </c>
      <c r="F262" s="99">
        <v>8.7736400000000005E-4</v>
      </c>
      <c r="G262" s="132">
        <v>8.9511199999999999E-4</v>
      </c>
      <c r="H262" s="133">
        <v>8.0212800000000004E-4</v>
      </c>
      <c r="I262" s="99">
        <v>8.7518399999999999E-4</v>
      </c>
      <c r="J262" s="133">
        <v>7.8974700000000004E-4</v>
      </c>
      <c r="K262" s="99">
        <v>6.2038700000000002E-4</v>
      </c>
      <c r="L262" s="116">
        <v>5.4808500000000002E-4</v>
      </c>
      <c r="M262" s="2">
        <v>5</v>
      </c>
      <c r="N262" s="2">
        <v>19</v>
      </c>
      <c r="O262" s="2">
        <v>83</v>
      </c>
      <c r="P262" s="126">
        <v>7</v>
      </c>
      <c r="Q262" s="106">
        <v>0</v>
      </c>
      <c r="R262" s="127">
        <v>65</v>
      </c>
      <c r="S262" s="2">
        <v>5</v>
      </c>
      <c r="T262" s="2">
        <v>0</v>
      </c>
      <c r="U262" s="127">
        <v>62</v>
      </c>
      <c r="V262" s="2">
        <v>5</v>
      </c>
      <c r="W262" s="2">
        <v>1</v>
      </c>
      <c r="X262" s="109">
        <v>36</v>
      </c>
    </row>
    <row r="263" spans="1:24" x14ac:dyDescent="0.25">
      <c r="C263" s="105"/>
      <c r="D263" s="109"/>
      <c r="E263" s="2"/>
      <c r="F263" s="2"/>
      <c r="G263" s="126"/>
      <c r="H263" s="127"/>
      <c r="I263" s="2"/>
      <c r="J263" s="127"/>
      <c r="K263" s="2"/>
      <c r="L263" s="109"/>
      <c r="M263" s="2"/>
      <c r="N263" s="2"/>
      <c r="O263" s="2"/>
      <c r="P263" s="126"/>
      <c r="Q263" s="106"/>
      <c r="R263" s="127"/>
      <c r="S263" s="2"/>
      <c r="T263" s="2"/>
      <c r="U263" s="127"/>
      <c r="V263" s="2"/>
      <c r="W263" s="2"/>
      <c r="X263" s="109"/>
    </row>
    <row r="264" spans="1:24" x14ac:dyDescent="0.25">
      <c r="A264" t="s">
        <v>1109</v>
      </c>
      <c r="B264">
        <v>20080358</v>
      </c>
      <c r="C264" s="103">
        <v>3133.3</v>
      </c>
      <c r="D264" s="108">
        <v>3121</v>
      </c>
      <c r="E264" s="99">
        <v>1.3605799999999999E-5</v>
      </c>
      <c r="F264" s="99">
        <v>2.9660100000000001E-5</v>
      </c>
      <c r="G264" s="134">
        <v>4.9999999999999998E-7</v>
      </c>
      <c r="H264" s="133">
        <v>1.17079E-6</v>
      </c>
      <c r="I264" s="100">
        <v>4.9999999999999998E-7</v>
      </c>
      <c r="J264" s="135">
        <v>4.9999999999999998E-7</v>
      </c>
      <c r="K264" s="100">
        <v>4.9999999999999998E-7</v>
      </c>
      <c r="L264" s="118">
        <v>4.9999999999999998E-7</v>
      </c>
      <c r="M264" s="2">
        <v>0</v>
      </c>
      <c r="N264" s="2">
        <v>9</v>
      </c>
      <c r="O264" s="2">
        <v>4</v>
      </c>
      <c r="P264" s="126">
        <v>0</v>
      </c>
      <c r="Q264" s="106">
        <v>1</v>
      </c>
      <c r="R264" s="127">
        <v>0</v>
      </c>
      <c r="S264" s="2">
        <v>0</v>
      </c>
      <c r="T264" s="2">
        <v>0</v>
      </c>
      <c r="U264" s="127">
        <v>0</v>
      </c>
      <c r="V264" s="2">
        <v>0</v>
      </c>
      <c r="W264" s="2">
        <v>0</v>
      </c>
      <c r="X264" s="109">
        <v>0</v>
      </c>
    </row>
    <row r="265" spans="1:24" x14ac:dyDescent="0.25">
      <c r="B265">
        <v>20090123</v>
      </c>
      <c r="C265" s="103">
        <v>5515.6</v>
      </c>
      <c r="D265" s="108">
        <v>5243.5</v>
      </c>
      <c r="E265" s="99">
        <v>5.0791299999999998E-6</v>
      </c>
      <c r="F265" s="99">
        <v>7.4333599999999996E-6</v>
      </c>
      <c r="G265" s="132">
        <v>1.7666500000000001E-6</v>
      </c>
      <c r="H265" s="133">
        <v>1.6260500000000001E-6</v>
      </c>
      <c r="I265" s="100">
        <v>4.9999999999999998E-7</v>
      </c>
      <c r="J265" s="135">
        <v>4.9999999999999998E-7</v>
      </c>
      <c r="K265" s="100">
        <v>4.9999999999999998E-7</v>
      </c>
      <c r="L265" s="118">
        <v>4.9999999999999998E-7</v>
      </c>
      <c r="M265" s="2">
        <v>0</v>
      </c>
      <c r="N265" s="2">
        <v>3</v>
      </c>
      <c r="O265" s="2">
        <v>2</v>
      </c>
      <c r="P265" s="126">
        <v>0</v>
      </c>
      <c r="Q265" s="106">
        <v>0</v>
      </c>
      <c r="R265" s="127">
        <v>1</v>
      </c>
      <c r="S265" s="2">
        <v>0</v>
      </c>
      <c r="T265" s="2">
        <v>0</v>
      </c>
      <c r="U265" s="127">
        <v>0</v>
      </c>
      <c r="V265" s="2">
        <v>0</v>
      </c>
      <c r="W265" s="2">
        <v>0</v>
      </c>
      <c r="X265" s="109">
        <v>0</v>
      </c>
    </row>
    <row r="266" spans="1:24" x14ac:dyDescent="0.25">
      <c r="B266">
        <v>20090711</v>
      </c>
      <c r="C266" s="103">
        <v>1237.4000000000001</v>
      </c>
      <c r="D266" s="108">
        <v>1230.5</v>
      </c>
      <c r="E266" s="99">
        <v>8.76085E-5</v>
      </c>
      <c r="F266" s="99">
        <v>1.00969E-4</v>
      </c>
      <c r="G266" s="132">
        <v>8.76085E-5</v>
      </c>
      <c r="H266" s="133">
        <v>9.6019600000000005E-5</v>
      </c>
      <c r="I266" s="99">
        <v>8.76085E-5</v>
      </c>
      <c r="J266" s="133">
        <v>9.2060100000000003E-5</v>
      </c>
      <c r="K266" s="99">
        <v>7.4811800000000001E-5</v>
      </c>
      <c r="L266" s="116">
        <v>7.4241999999999998E-5</v>
      </c>
      <c r="M266" s="2">
        <v>0</v>
      </c>
      <c r="N266" s="2">
        <v>3</v>
      </c>
      <c r="O266" s="2">
        <v>4</v>
      </c>
      <c r="P266" s="126">
        <v>0</v>
      </c>
      <c r="Q266" s="106">
        <v>2</v>
      </c>
      <c r="R266" s="127">
        <v>4</v>
      </c>
      <c r="S266" s="2">
        <v>0</v>
      </c>
      <c r="T266" s="2">
        <v>1</v>
      </c>
      <c r="U266" s="127">
        <v>4</v>
      </c>
      <c r="V266" s="2">
        <v>0</v>
      </c>
      <c r="W266" s="2">
        <v>0</v>
      </c>
      <c r="X266" s="109">
        <v>3</v>
      </c>
    </row>
    <row r="267" spans="1:24" x14ac:dyDescent="0.25">
      <c r="B267">
        <v>20090892</v>
      </c>
      <c r="C267" s="103">
        <v>2870.6</v>
      </c>
      <c r="D267" s="108">
        <v>2860.4</v>
      </c>
      <c r="E267" s="99">
        <v>7.00121E-5</v>
      </c>
      <c r="F267" s="99">
        <v>8.30349E-5</v>
      </c>
      <c r="G267" s="132">
        <v>5.3039499999999999E-5</v>
      </c>
      <c r="H267" s="133">
        <v>5.1524199999999997E-5</v>
      </c>
      <c r="I267" s="99">
        <v>3.3096599999999998E-5</v>
      </c>
      <c r="J267" s="133">
        <v>2.5549199999999999E-5</v>
      </c>
      <c r="K267" s="99">
        <v>3.3945299999999998E-6</v>
      </c>
      <c r="L267" s="116">
        <v>2.9807399999999999E-6</v>
      </c>
      <c r="M267" s="2">
        <v>0</v>
      </c>
      <c r="N267" s="2">
        <v>6</v>
      </c>
      <c r="O267" s="2">
        <v>14</v>
      </c>
      <c r="P267" s="126">
        <v>0</v>
      </c>
      <c r="Q267" s="106">
        <v>0</v>
      </c>
      <c r="R267" s="127">
        <v>10</v>
      </c>
      <c r="S267" s="2">
        <v>1</v>
      </c>
      <c r="T267" s="2">
        <v>0</v>
      </c>
      <c r="U267" s="127">
        <v>5</v>
      </c>
      <c r="V267" s="2">
        <v>0</v>
      </c>
      <c r="W267" s="2">
        <v>0</v>
      </c>
      <c r="X267" s="109">
        <v>1</v>
      </c>
    </row>
    <row r="268" spans="1:24" x14ac:dyDescent="0.25">
      <c r="B268">
        <v>20090965</v>
      </c>
      <c r="C268" s="103">
        <v>8838.2999999999993</v>
      </c>
      <c r="D268" s="108">
        <v>6365.6</v>
      </c>
      <c r="E268" s="99">
        <v>6.2429100000000002E-5</v>
      </c>
      <c r="F268" s="99">
        <v>7.6729400000000004E-5</v>
      </c>
      <c r="G268" s="132">
        <v>4.4651199999999997E-5</v>
      </c>
      <c r="H268" s="133">
        <v>5.7212200000000001E-5</v>
      </c>
      <c r="I268" s="99">
        <v>2.6597800000000001E-5</v>
      </c>
      <c r="J268" s="133">
        <v>3.5590199999999997E-5</v>
      </c>
      <c r="K268" s="99">
        <v>6.2015599999999998E-6</v>
      </c>
      <c r="L268" s="116">
        <v>8.6105300000000004E-6</v>
      </c>
      <c r="M268" s="2">
        <v>0</v>
      </c>
      <c r="N268" s="2">
        <v>9</v>
      </c>
      <c r="O268" s="2">
        <v>12</v>
      </c>
      <c r="P268" s="126">
        <v>0</v>
      </c>
      <c r="Q268" s="106">
        <v>3</v>
      </c>
      <c r="R268" s="127">
        <v>6</v>
      </c>
      <c r="S268" s="2">
        <v>0</v>
      </c>
      <c r="T268" s="2">
        <v>1</v>
      </c>
      <c r="U268" s="127">
        <v>3</v>
      </c>
      <c r="V268" s="2">
        <v>0</v>
      </c>
      <c r="W268" s="2">
        <v>0</v>
      </c>
      <c r="X268" s="109">
        <v>1</v>
      </c>
    </row>
    <row r="269" spans="1:24" x14ac:dyDescent="0.25">
      <c r="B269">
        <v>20091068</v>
      </c>
      <c r="C269" s="103">
        <v>11251.5</v>
      </c>
      <c r="D269" s="108">
        <v>6760.7</v>
      </c>
      <c r="E269" s="99">
        <v>1.01326E-4</v>
      </c>
      <c r="F269" s="99">
        <v>1.24311E-4</v>
      </c>
      <c r="G269" s="132">
        <v>8.5629299999999997E-5</v>
      </c>
      <c r="H269" s="133">
        <v>1.02332E-4</v>
      </c>
      <c r="I269" s="99">
        <v>4.5033900000000003E-5</v>
      </c>
      <c r="J269" s="133">
        <v>5.62104E-5</v>
      </c>
      <c r="K269" s="100">
        <v>4.9999999999999998E-7</v>
      </c>
      <c r="L269" s="118">
        <v>4.9999999999999998E-7</v>
      </c>
      <c r="M269" s="2">
        <v>0</v>
      </c>
      <c r="N269" s="2">
        <v>4</v>
      </c>
      <c r="O269" s="2">
        <v>23</v>
      </c>
      <c r="P269" s="126">
        <v>1</v>
      </c>
      <c r="Q269" s="106">
        <v>1</v>
      </c>
      <c r="R269" s="127">
        <v>15</v>
      </c>
      <c r="S269" s="2">
        <v>1</v>
      </c>
      <c r="T269" s="2">
        <v>0</v>
      </c>
      <c r="U269" s="127">
        <v>6</v>
      </c>
      <c r="V269" s="2">
        <v>0</v>
      </c>
      <c r="W269" s="2">
        <v>0</v>
      </c>
      <c r="X269" s="109">
        <v>0</v>
      </c>
    </row>
    <row r="270" spans="1:24" x14ac:dyDescent="0.25">
      <c r="B270">
        <v>20091069</v>
      </c>
      <c r="C270" s="103">
        <v>3061</v>
      </c>
      <c r="D270" s="108">
        <v>3047.2</v>
      </c>
      <c r="E270" s="99">
        <v>4.5760200000000003E-5</v>
      </c>
      <c r="F270" s="99">
        <v>6.4754599999999998E-5</v>
      </c>
      <c r="G270" s="132">
        <v>3.3027000000000001E-5</v>
      </c>
      <c r="H270" s="133">
        <v>3.6774199999999998E-5</v>
      </c>
      <c r="I270" s="99">
        <v>2.0293699999999999E-5</v>
      </c>
      <c r="J270" s="133">
        <v>1.47896E-5</v>
      </c>
      <c r="K270" s="100">
        <v>4.9999999999999998E-7</v>
      </c>
      <c r="L270" s="118">
        <v>4.9999999999999998E-7</v>
      </c>
      <c r="M270" s="2">
        <v>0</v>
      </c>
      <c r="N270" s="2">
        <v>10</v>
      </c>
      <c r="O270" s="2">
        <v>8</v>
      </c>
      <c r="P270" s="126">
        <v>0</v>
      </c>
      <c r="Q270" s="106">
        <v>2</v>
      </c>
      <c r="R270" s="127">
        <v>5</v>
      </c>
      <c r="S270" s="2">
        <v>1</v>
      </c>
      <c r="T270" s="2">
        <v>0</v>
      </c>
      <c r="U270" s="127">
        <v>2</v>
      </c>
      <c r="V270" s="2">
        <v>0</v>
      </c>
      <c r="W270" s="2">
        <v>0</v>
      </c>
      <c r="X270" s="109">
        <v>0</v>
      </c>
    </row>
    <row r="271" spans="1:24" x14ac:dyDescent="0.25">
      <c r="B271">
        <v>20091094</v>
      </c>
      <c r="C271" s="103">
        <v>9976.6</v>
      </c>
      <c r="D271" s="108">
        <v>6702.3</v>
      </c>
      <c r="E271" s="99">
        <v>3.80917E-5</v>
      </c>
      <c r="F271" s="99">
        <v>3.8163800000000002E-5</v>
      </c>
      <c r="G271" s="132">
        <v>3.1010599999999997E-5</v>
      </c>
      <c r="H271" s="133">
        <v>3.3257099999999997E-5</v>
      </c>
      <c r="I271" s="99">
        <v>2.3929400000000002E-5</v>
      </c>
      <c r="J271" s="133">
        <v>2.8713699999999999E-5</v>
      </c>
      <c r="K271" s="99">
        <v>1.6359899999999999E-5</v>
      </c>
      <c r="L271" s="116">
        <v>1.3266500000000001E-5</v>
      </c>
      <c r="M271" s="2">
        <v>0</v>
      </c>
      <c r="N271" s="2">
        <v>0</v>
      </c>
      <c r="O271" s="2">
        <v>7</v>
      </c>
      <c r="P271" s="126">
        <v>0</v>
      </c>
      <c r="Q271" s="106">
        <v>0</v>
      </c>
      <c r="R271" s="127">
        <v>5</v>
      </c>
      <c r="S271" s="2">
        <v>0</v>
      </c>
      <c r="T271" s="2">
        <v>1</v>
      </c>
      <c r="U271" s="127">
        <v>2</v>
      </c>
      <c r="V271" s="2">
        <v>0</v>
      </c>
      <c r="W271" s="2">
        <v>0</v>
      </c>
      <c r="X271" s="109">
        <v>1</v>
      </c>
    </row>
    <row r="272" spans="1:24" x14ac:dyDescent="0.25">
      <c r="B272">
        <v>20091119</v>
      </c>
      <c r="C272" s="103">
        <v>14002.5</v>
      </c>
      <c r="D272" s="108">
        <v>6840</v>
      </c>
      <c r="E272" s="99">
        <v>2.35734E-5</v>
      </c>
      <c r="F272" s="99">
        <v>2.1012599999999999E-5</v>
      </c>
      <c r="G272" s="132">
        <v>2.1050799999999998E-5</v>
      </c>
      <c r="H272" s="133">
        <v>1.38897E-5</v>
      </c>
      <c r="I272" s="99">
        <v>2.1050799999999998E-5</v>
      </c>
      <c r="J272" s="133">
        <v>1.38897E-5</v>
      </c>
      <c r="K272" s="99">
        <v>2.1050799999999998E-5</v>
      </c>
      <c r="L272" s="116">
        <v>1.38897E-5</v>
      </c>
      <c r="M272" s="2">
        <v>0</v>
      </c>
      <c r="N272" s="2">
        <v>3</v>
      </c>
      <c r="O272" s="2">
        <v>3</v>
      </c>
      <c r="P272" s="126">
        <v>0</v>
      </c>
      <c r="Q272" s="106">
        <v>0</v>
      </c>
      <c r="R272" s="127">
        <v>1</v>
      </c>
      <c r="S272" s="2">
        <v>0</v>
      </c>
      <c r="T272" s="2">
        <v>0</v>
      </c>
      <c r="U272" s="127">
        <v>1</v>
      </c>
      <c r="V272" s="2">
        <v>0</v>
      </c>
      <c r="W272" s="2">
        <v>0</v>
      </c>
      <c r="X272" s="109">
        <v>1</v>
      </c>
    </row>
    <row r="273" spans="2:24" x14ac:dyDescent="0.25">
      <c r="B273">
        <v>20091973</v>
      </c>
      <c r="C273" s="103">
        <v>6370.7</v>
      </c>
      <c r="D273" s="108">
        <v>5649.7</v>
      </c>
      <c r="E273" s="99">
        <v>8.1257199999999999E-5</v>
      </c>
      <c r="F273" s="99">
        <v>8.5805300000000003E-5</v>
      </c>
      <c r="G273" s="132">
        <v>8.1257199999999999E-5</v>
      </c>
      <c r="H273" s="133">
        <v>7.7397200000000005E-5</v>
      </c>
      <c r="I273" s="99">
        <v>7.9918899999999998E-5</v>
      </c>
      <c r="J273" s="133">
        <v>7.6103699999999994E-5</v>
      </c>
      <c r="K273" s="99">
        <v>2.5619899999999998E-5</v>
      </c>
      <c r="L273" s="116">
        <v>2.6948899999999999E-5</v>
      </c>
      <c r="M273" s="2">
        <v>0</v>
      </c>
      <c r="N273" s="2">
        <v>5</v>
      </c>
      <c r="O273" s="2">
        <v>8</v>
      </c>
      <c r="P273" s="126">
        <v>0</v>
      </c>
      <c r="Q273" s="106">
        <v>0</v>
      </c>
      <c r="R273" s="127">
        <v>8</v>
      </c>
      <c r="S273" s="2">
        <v>0</v>
      </c>
      <c r="T273" s="2">
        <v>0</v>
      </c>
      <c r="U273" s="127">
        <v>7</v>
      </c>
      <c r="V273" s="2">
        <v>0</v>
      </c>
      <c r="W273" s="2">
        <v>0</v>
      </c>
      <c r="X273" s="109">
        <v>2</v>
      </c>
    </row>
    <row r="274" spans="2:24" x14ac:dyDescent="0.25">
      <c r="B274">
        <v>20091980</v>
      </c>
      <c r="C274" s="103" t="s">
        <v>49</v>
      </c>
      <c r="D274" s="108" t="s">
        <v>49</v>
      </c>
      <c r="E274" s="99" t="s">
        <v>49</v>
      </c>
      <c r="F274" s="99" t="s">
        <v>49</v>
      </c>
      <c r="G274" s="132" t="s">
        <v>49</v>
      </c>
      <c r="H274" s="133" t="s">
        <v>49</v>
      </c>
      <c r="I274" s="99" t="s">
        <v>49</v>
      </c>
      <c r="J274" s="133" t="s">
        <v>49</v>
      </c>
      <c r="K274" s="99" t="s">
        <v>49</v>
      </c>
      <c r="L274" s="116" t="s">
        <v>49</v>
      </c>
      <c r="M274" s="2" t="s">
        <v>49</v>
      </c>
      <c r="N274" s="2" t="s">
        <v>49</v>
      </c>
      <c r="O274" s="2" t="s">
        <v>49</v>
      </c>
      <c r="P274" s="126" t="s">
        <v>49</v>
      </c>
      <c r="Q274" s="106" t="s">
        <v>49</v>
      </c>
      <c r="R274" s="127" t="s">
        <v>49</v>
      </c>
      <c r="S274" s="2" t="s">
        <v>49</v>
      </c>
      <c r="T274" s="2" t="s">
        <v>49</v>
      </c>
      <c r="U274" s="127" t="s">
        <v>49</v>
      </c>
      <c r="V274" s="2" t="s">
        <v>49</v>
      </c>
      <c r="W274" s="2" t="s">
        <v>49</v>
      </c>
      <c r="X274" s="109" t="s">
        <v>49</v>
      </c>
    </row>
    <row r="275" spans="2:24" x14ac:dyDescent="0.25">
      <c r="B275">
        <v>20091981</v>
      </c>
      <c r="C275" s="103">
        <v>24712.1</v>
      </c>
      <c r="D275" s="108">
        <v>7234.5</v>
      </c>
      <c r="E275" s="99">
        <v>3.8445100000000001E-6</v>
      </c>
      <c r="F275" s="99">
        <v>7.07127E-6</v>
      </c>
      <c r="G275" s="137">
        <v>7.88617E-7</v>
      </c>
      <c r="H275" s="135">
        <v>4.9999999999999998E-7</v>
      </c>
      <c r="I275" s="100">
        <v>4.9999999999999998E-7</v>
      </c>
      <c r="J275" s="135">
        <v>4.9999999999999998E-7</v>
      </c>
      <c r="K275" s="100">
        <v>4.9999999999999998E-7</v>
      </c>
      <c r="L275" s="118">
        <v>4.9999999999999998E-7</v>
      </c>
      <c r="M275" s="2">
        <v>0</v>
      </c>
      <c r="N275" s="2">
        <v>2</v>
      </c>
      <c r="O275" s="2">
        <v>3</v>
      </c>
      <c r="P275" s="126">
        <v>1</v>
      </c>
      <c r="Q275" s="106">
        <v>0</v>
      </c>
      <c r="R275" s="127">
        <v>0</v>
      </c>
      <c r="S275" s="2">
        <v>0</v>
      </c>
      <c r="T275" s="2">
        <v>0</v>
      </c>
      <c r="U275" s="127">
        <v>0</v>
      </c>
      <c r="V275" s="2">
        <v>0</v>
      </c>
      <c r="W275" s="2">
        <v>0</v>
      </c>
      <c r="X275" s="109">
        <v>0</v>
      </c>
    </row>
    <row r="276" spans="2:24" x14ac:dyDescent="0.25">
      <c r="B276">
        <v>20091983</v>
      </c>
      <c r="C276" s="103">
        <v>10099.5</v>
      </c>
      <c r="D276" s="108">
        <v>6379.7</v>
      </c>
      <c r="E276" s="99">
        <v>4.6757500000000002E-4</v>
      </c>
      <c r="F276" s="99">
        <v>3.8737999999999999E-4</v>
      </c>
      <c r="G276" s="132">
        <v>4.6070099999999999E-4</v>
      </c>
      <c r="H276" s="133">
        <v>3.7821600000000001E-4</v>
      </c>
      <c r="I276" s="99">
        <v>4.5961500000000002E-4</v>
      </c>
      <c r="J276" s="133">
        <v>3.76497E-4</v>
      </c>
      <c r="K276" s="99">
        <v>4.5961500000000002E-4</v>
      </c>
      <c r="L276" s="116">
        <v>3.76497E-4</v>
      </c>
      <c r="M276" s="2">
        <v>0</v>
      </c>
      <c r="N276" s="2">
        <v>2</v>
      </c>
      <c r="O276" s="2">
        <v>7</v>
      </c>
      <c r="P276" s="126">
        <v>0</v>
      </c>
      <c r="Q276" s="106">
        <v>0</v>
      </c>
      <c r="R276" s="127">
        <v>3</v>
      </c>
      <c r="S276" s="2">
        <v>0</v>
      </c>
      <c r="T276" s="2">
        <v>0</v>
      </c>
      <c r="U276" s="127">
        <v>2</v>
      </c>
      <c r="V276" s="2">
        <v>0</v>
      </c>
      <c r="W276" s="2">
        <v>0</v>
      </c>
      <c r="X276" s="109">
        <v>2</v>
      </c>
    </row>
    <row r="277" spans="2:24" x14ac:dyDescent="0.25">
      <c r="B277">
        <v>20092285</v>
      </c>
      <c r="C277" s="103">
        <v>33689</v>
      </c>
      <c r="D277" s="108">
        <v>7423.2</v>
      </c>
      <c r="E277" s="99">
        <v>1.2798900000000001E-4</v>
      </c>
      <c r="F277" s="99">
        <v>1.67529E-4</v>
      </c>
      <c r="G277" s="132">
        <v>5.2677899999999999E-5</v>
      </c>
      <c r="H277" s="133">
        <v>9.6972999999999995E-5</v>
      </c>
      <c r="I277" s="99">
        <v>2.19461E-5</v>
      </c>
      <c r="J277" s="133">
        <v>4.4302399999999998E-5</v>
      </c>
      <c r="K277" s="99">
        <v>1.9162200000000001E-6</v>
      </c>
      <c r="L277" s="118">
        <v>4.9999999999999998E-7</v>
      </c>
      <c r="M277" s="2">
        <v>4</v>
      </c>
      <c r="N277" s="2">
        <v>5</v>
      </c>
      <c r="O277" s="2">
        <v>52</v>
      </c>
      <c r="P277" s="126">
        <v>4</v>
      </c>
      <c r="Q277" s="106">
        <v>7</v>
      </c>
      <c r="R277" s="127">
        <v>10</v>
      </c>
      <c r="S277" s="2">
        <v>3</v>
      </c>
      <c r="T277" s="2">
        <v>3</v>
      </c>
      <c r="U277" s="127">
        <v>3</v>
      </c>
      <c r="V277" s="2">
        <v>1</v>
      </c>
      <c r="W277" s="2">
        <v>0</v>
      </c>
      <c r="X277" s="109">
        <v>0</v>
      </c>
    </row>
    <row r="278" spans="2:24" x14ac:dyDescent="0.25">
      <c r="B278">
        <v>20110089</v>
      </c>
      <c r="C278" s="103">
        <v>838.5</v>
      </c>
      <c r="D278" s="108">
        <v>833.7</v>
      </c>
      <c r="E278" s="99">
        <v>6.1444400000000001E-4</v>
      </c>
      <c r="F278" s="99">
        <v>5.3323499999999996E-4</v>
      </c>
      <c r="G278" s="132">
        <v>6.1444400000000001E-4</v>
      </c>
      <c r="H278" s="133">
        <v>5.2885200000000001E-4</v>
      </c>
      <c r="I278" s="99">
        <v>6.1444400000000001E-4</v>
      </c>
      <c r="J278" s="133">
        <v>5.0986E-4</v>
      </c>
      <c r="K278" s="99">
        <v>6.1444400000000001E-4</v>
      </c>
      <c r="L278" s="116">
        <v>5.0986E-4</v>
      </c>
      <c r="M278" s="2">
        <v>2</v>
      </c>
      <c r="N278" s="2">
        <v>5</v>
      </c>
      <c r="O278" s="2">
        <v>4</v>
      </c>
      <c r="P278" s="126">
        <v>2</v>
      </c>
      <c r="Q278" s="106">
        <v>4</v>
      </c>
      <c r="R278" s="127">
        <v>4</v>
      </c>
      <c r="S278" s="2">
        <v>2</v>
      </c>
      <c r="T278" s="2">
        <v>1</v>
      </c>
      <c r="U278" s="127">
        <v>4</v>
      </c>
      <c r="V278" s="2">
        <v>2</v>
      </c>
      <c r="W278" s="2">
        <v>1</v>
      </c>
      <c r="X278" s="109">
        <v>4</v>
      </c>
    </row>
    <row r="279" spans="2:24" x14ac:dyDescent="0.25">
      <c r="B279">
        <v>20110129</v>
      </c>
      <c r="C279" s="103">
        <v>4267</v>
      </c>
      <c r="D279" s="108">
        <v>4250.8999999999996</v>
      </c>
      <c r="E279" s="99">
        <v>4.6528800000000001E-5</v>
      </c>
      <c r="F279" s="99">
        <v>4.7278099999999997E-5</v>
      </c>
      <c r="G279" s="132">
        <v>2.9972500000000001E-5</v>
      </c>
      <c r="H279" s="133">
        <v>2.9513E-5</v>
      </c>
      <c r="I279" s="99">
        <v>1.6556199999999999E-5</v>
      </c>
      <c r="J279" s="133">
        <v>1.6619000000000001E-5</v>
      </c>
      <c r="K279" s="100">
        <v>4.9999999999999998E-7</v>
      </c>
      <c r="L279" s="118">
        <v>4.9999999999999998E-7</v>
      </c>
      <c r="M279" s="2">
        <v>0</v>
      </c>
      <c r="N279" s="2">
        <v>1</v>
      </c>
      <c r="O279" s="2">
        <v>10</v>
      </c>
      <c r="P279" s="126">
        <v>0</v>
      </c>
      <c r="Q279" s="106">
        <v>0</v>
      </c>
      <c r="R279" s="127">
        <v>5</v>
      </c>
      <c r="S279" s="2">
        <v>0</v>
      </c>
      <c r="T279" s="2">
        <v>0</v>
      </c>
      <c r="U279" s="127">
        <v>2</v>
      </c>
      <c r="V279" s="2">
        <v>0</v>
      </c>
      <c r="W279" s="2">
        <v>0</v>
      </c>
      <c r="X279" s="109">
        <v>0</v>
      </c>
    </row>
    <row r="280" spans="2:24" x14ac:dyDescent="0.25">
      <c r="B280">
        <v>20110216</v>
      </c>
      <c r="C280" s="103">
        <v>556.4</v>
      </c>
      <c r="D280" s="108">
        <v>552.1</v>
      </c>
      <c r="E280" s="99">
        <v>1.147E-3</v>
      </c>
      <c r="F280" s="99">
        <v>1.13828E-3</v>
      </c>
      <c r="G280" s="132">
        <v>1.147E-3</v>
      </c>
      <c r="H280" s="133">
        <v>1.13828E-3</v>
      </c>
      <c r="I280" s="99">
        <v>1.147E-3</v>
      </c>
      <c r="J280" s="133">
        <v>1.13828E-3</v>
      </c>
      <c r="K280" s="99">
        <v>1.13386E-3</v>
      </c>
      <c r="L280" s="116">
        <v>1.06769E-3</v>
      </c>
      <c r="M280" s="2">
        <v>1</v>
      </c>
      <c r="N280" s="2">
        <v>12</v>
      </c>
      <c r="O280" s="2">
        <v>21</v>
      </c>
      <c r="P280" s="126">
        <v>1</v>
      </c>
      <c r="Q280" s="106">
        <v>12</v>
      </c>
      <c r="R280" s="127">
        <v>21</v>
      </c>
      <c r="S280" s="2">
        <v>1</v>
      </c>
      <c r="T280" s="2">
        <v>12</v>
      </c>
      <c r="U280" s="127">
        <v>21</v>
      </c>
      <c r="V280" s="2">
        <v>1</v>
      </c>
      <c r="W280" s="2">
        <v>3</v>
      </c>
      <c r="X280" s="109">
        <v>20</v>
      </c>
    </row>
    <row r="281" spans="2:24" x14ac:dyDescent="0.25">
      <c r="B281">
        <v>20120513</v>
      </c>
      <c r="C281" s="103">
        <v>30251.9</v>
      </c>
      <c r="D281" s="108">
        <v>7306.7</v>
      </c>
      <c r="E281" s="99">
        <v>4.5778800000000003E-5</v>
      </c>
      <c r="F281" s="99">
        <v>3.9007900000000003E-5</v>
      </c>
      <c r="G281" s="132">
        <v>3.50287E-6</v>
      </c>
      <c r="H281" s="133">
        <v>8.5017300000000007E-6</v>
      </c>
      <c r="I281" s="100">
        <v>4.9999999999999998E-7</v>
      </c>
      <c r="J281" s="135">
        <v>4.9999999999999998E-7</v>
      </c>
      <c r="K281" s="100">
        <v>4.9999999999999998E-7</v>
      </c>
      <c r="L281" s="118">
        <v>4.9999999999999998E-7</v>
      </c>
      <c r="M281" s="2">
        <v>17</v>
      </c>
      <c r="N281" s="2">
        <v>7</v>
      </c>
      <c r="O281" s="2">
        <v>19</v>
      </c>
      <c r="P281" s="126">
        <v>0</v>
      </c>
      <c r="Q281" s="106">
        <v>0</v>
      </c>
      <c r="R281" s="127">
        <v>2</v>
      </c>
      <c r="S281" s="2">
        <v>0</v>
      </c>
      <c r="T281" s="2">
        <v>0</v>
      </c>
      <c r="U281" s="127">
        <v>0</v>
      </c>
      <c r="V281" s="2">
        <v>0</v>
      </c>
      <c r="W281" s="2">
        <v>0</v>
      </c>
      <c r="X281" s="109">
        <v>0</v>
      </c>
    </row>
    <row r="282" spans="2:24" x14ac:dyDescent="0.25">
      <c r="B282">
        <v>20120642</v>
      </c>
      <c r="C282" s="103">
        <v>27122.5</v>
      </c>
      <c r="D282" s="108">
        <v>7198.5</v>
      </c>
      <c r="E282" s="99">
        <v>2.0927299999999999E-5</v>
      </c>
      <c r="F282" s="99">
        <v>1.8612599999999999E-5</v>
      </c>
      <c r="G282" s="132">
        <v>9.2960399999999999E-6</v>
      </c>
      <c r="H282" s="133">
        <v>7.61425E-6</v>
      </c>
      <c r="I282" s="99">
        <v>9.2960399999999999E-6</v>
      </c>
      <c r="J282" s="133">
        <v>7.61425E-6</v>
      </c>
      <c r="K282" s="100">
        <v>4.9999999999999998E-7</v>
      </c>
      <c r="L282" s="118">
        <v>4.9999999999999998E-7</v>
      </c>
      <c r="M282" s="2">
        <v>6</v>
      </c>
      <c r="N282" s="2">
        <v>3</v>
      </c>
      <c r="O282" s="2">
        <v>6</v>
      </c>
      <c r="P282" s="126">
        <v>0</v>
      </c>
      <c r="Q282" s="106">
        <v>0</v>
      </c>
      <c r="R282" s="127">
        <v>1</v>
      </c>
      <c r="S282" s="2">
        <v>0</v>
      </c>
      <c r="T282" s="2">
        <v>0</v>
      </c>
      <c r="U282" s="127">
        <v>1</v>
      </c>
      <c r="V282" s="2">
        <v>0</v>
      </c>
      <c r="W282" s="2">
        <v>0</v>
      </c>
      <c r="X282" s="109">
        <v>0</v>
      </c>
    </row>
    <row r="283" spans="2:24" x14ac:dyDescent="0.25">
      <c r="B283">
        <v>20120647</v>
      </c>
      <c r="C283" s="103">
        <v>5801.4</v>
      </c>
      <c r="D283" s="108">
        <v>5505.6</v>
      </c>
      <c r="E283" s="99">
        <v>3.2332999999999997E-5</v>
      </c>
      <c r="F283" s="99">
        <v>4.46896E-5</v>
      </c>
      <c r="G283" s="132">
        <v>2.3305000000000001E-5</v>
      </c>
      <c r="H283" s="133">
        <v>2.4114700000000001E-5</v>
      </c>
      <c r="I283" s="99">
        <v>2.3305000000000001E-5</v>
      </c>
      <c r="J283" s="133">
        <v>2.4114700000000001E-5</v>
      </c>
      <c r="K283" s="99">
        <v>1.67964E-6</v>
      </c>
      <c r="L283" s="116">
        <v>1.54865E-6</v>
      </c>
      <c r="M283" s="2">
        <v>0</v>
      </c>
      <c r="N283" s="2">
        <v>10</v>
      </c>
      <c r="O283" s="2">
        <v>8</v>
      </c>
      <c r="P283" s="126">
        <v>0</v>
      </c>
      <c r="Q283" s="106">
        <v>0</v>
      </c>
      <c r="R283" s="127">
        <v>4</v>
      </c>
      <c r="S283" s="2">
        <v>0</v>
      </c>
      <c r="T283" s="2">
        <v>0</v>
      </c>
      <c r="U283" s="127">
        <v>4</v>
      </c>
      <c r="V283" s="2">
        <v>0</v>
      </c>
      <c r="W283" s="2">
        <v>0</v>
      </c>
      <c r="X283" s="109">
        <v>1</v>
      </c>
    </row>
    <row r="284" spans="2:24" x14ac:dyDescent="0.25">
      <c r="B284">
        <v>20120850</v>
      </c>
      <c r="C284" s="103">
        <v>16794.5</v>
      </c>
      <c r="D284" s="108">
        <v>7004.4</v>
      </c>
      <c r="E284" s="99">
        <v>6.3749899999999998E-5</v>
      </c>
      <c r="F284" s="99">
        <v>6.1036899999999998E-5</v>
      </c>
      <c r="G284" s="134">
        <v>4.9999999999999998E-7</v>
      </c>
      <c r="H284" s="133">
        <v>4.3473599999999998E-6</v>
      </c>
      <c r="I284" s="100">
        <v>4.9999999999999998E-7</v>
      </c>
      <c r="J284" s="135">
        <v>4.9999999999999998E-7</v>
      </c>
      <c r="K284" s="100">
        <v>4.9999999999999998E-7</v>
      </c>
      <c r="L284" s="118">
        <v>4.9999999999999998E-7</v>
      </c>
      <c r="M284" s="2">
        <v>2</v>
      </c>
      <c r="N284" s="2">
        <v>5</v>
      </c>
      <c r="O284" s="2">
        <v>26</v>
      </c>
      <c r="P284" s="126">
        <v>0</v>
      </c>
      <c r="Q284" s="106">
        <v>1</v>
      </c>
      <c r="R284" s="127">
        <v>0</v>
      </c>
      <c r="S284" s="2">
        <v>0</v>
      </c>
      <c r="T284" s="2">
        <v>0</v>
      </c>
      <c r="U284" s="127">
        <v>0</v>
      </c>
      <c r="V284" s="2">
        <v>0</v>
      </c>
      <c r="W284" s="2">
        <v>0</v>
      </c>
      <c r="X284" s="109">
        <v>0</v>
      </c>
    </row>
    <row r="285" spans="2:24" x14ac:dyDescent="0.25">
      <c r="B285">
        <v>20120884</v>
      </c>
      <c r="C285" s="103">
        <v>480.1</v>
      </c>
      <c r="D285" s="108">
        <v>478.4</v>
      </c>
      <c r="E285" s="99">
        <v>4.3130200000000003E-5</v>
      </c>
      <c r="F285" s="99">
        <v>7.1287300000000004E-5</v>
      </c>
      <c r="G285" s="132">
        <v>4.3130200000000003E-5</v>
      </c>
      <c r="H285" s="133">
        <v>7.1287300000000004E-5</v>
      </c>
      <c r="I285" s="99">
        <v>4.3130200000000003E-5</v>
      </c>
      <c r="J285" s="133">
        <v>6.3649299999999994E-5</v>
      </c>
      <c r="K285" s="99">
        <v>3.0444900000000001E-5</v>
      </c>
      <c r="L285" s="116">
        <v>3.0551700000000001E-5</v>
      </c>
      <c r="M285" s="2">
        <v>0</v>
      </c>
      <c r="N285" s="2">
        <v>3</v>
      </c>
      <c r="O285" s="2">
        <v>3</v>
      </c>
      <c r="P285" s="126">
        <v>0</v>
      </c>
      <c r="Q285" s="106">
        <v>3</v>
      </c>
      <c r="R285" s="127">
        <v>3</v>
      </c>
      <c r="S285" s="2">
        <v>0</v>
      </c>
      <c r="T285" s="2">
        <v>2</v>
      </c>
      <c r="U285" s="127">
        <v>3</v>
      </c>
      <c r="V285" s="2">
        <v>0</v>
      </c>
      <c r="W285" s="2">
        <v>0</v>
      </c>
      <c r="X285" s="109">
        <v>2</v>
      </c>
    </row>
    <row r="286" spans="2:24" x14ac:dyDescent="0.25">
      <c r="B286">
        <v>20120907</v>
      </c>
      <c r="C286" s="103">
        <v>2834</v>
      </c>
      <c r="D286" s="108">
        <v>2820.9</v>
      </c>
      <c r="E286" s="99">
        <v>6.7906500000000005E-5</v>
      </c>
      <c r="F286" s="99">
        <v>1.114E-4</v>
      </c>
      <c r="G286" s="132">
        <v>6.7906500000000005E-5</v>
      </c>
      <c r="H286" s="133">
        <v>7.3834899999999993E-5</v>
      </c>
      <c r="I286" s="99">
        <v>5.5442699999999997E-5</v>
      </c>
      <c r="J286" s="133">
        <v>5.4404599999999997E-5</v>
      </c>
      <c r="K286" s="99">
        <v>5.5442699999999997E-5</v>
      </c>
      <c r="L286" s="116">
        <v>5.4404599999999997E-5</v>
      </c>
      <c r="M286" s="2">
        <v>0</v>
      </c>
      <c r="N286" s="2">
        <v>20</v>
      </c>
      <c r="O286" s="2">
        <v>6</v>
      </c>
      <c r="P286" s="126">
        <v>0</v>
      </c>
      <c r="Q286" s="106">
        <v>3</v>
      </c>
      <c r="R286" s="127">
        <v>6</v>
      </c>
      <c r="S286" s="2">
        <v>0</v>
      </c>
      <c r="T286" s="2">
        <v>0</v>
      </c>
      <c r="U286" s="127">
        <v>2</v>
      </c>
      <c r="V286" s="2">
        <v>0</v>
      </c>
      <c r="W286" s="2">
        <v>0</v>
      </c>
      <c r="X286" s="109">
        <v>2</v>
      </c>
    </row>
    <row r="287" spans="2:24" x14ac:dyDescent="0.25">
      <c r="B287">
        <v>20120924</v>
      </c>
      <c r="C287" s="103">
        <v>1213.8</v>
      </c>
      <c r="D287" s="108">
        <v>1206.3</v>
      </c>
      <c r="E287" s="99">
        <v>9.0314699999999994E-6</v>
      </c>
      <c r="F287" s="99">
        <v>9.4910300000000005E-5</v>
      </c>
      <c r="G287" s="132">
        <v>9.0314699999999994E-6</v>
      </c>
      <c r="H287" s="133">
        <v>5.04842E-5</v>
      </c>
      <c r="I287" s="99">
        <v>9.0314699999999994E-6</v>
      </c>
      <c r="J287" s="133">
        <v>1.1106499999999999E-5</v>
      </c>
      <c r="K287" s="100">
        <v>4.9999999999999998E-7</v>
      </c>
      <c r="L287" s="118">
        <v>4.9999999999999998E-7</v>
      </c>
      <c r="M287" s="2">
        <v>0</v>
      </c>
      <c r="N287" s="2">
        <v>22</v>
      </c>
      <c r="O287" s="2">
        <v>1</v>
      </c>
      <c r="P287" s="126">
        <v>0</v>
      </c>
      <c r="Q287" s="106">
        <v>10</v>
      </c>
      <c r="R287" s="127">
        <v>1</v>
      </c>
      <c r="S287" s="2">
        <v>0</v>
      </c>
      <c r="T287" s="2">
        <v>1</v>
      </c>
      <c r="U287" s="127">
        <v>1</v>
      </c>
      <c r="V287" s="2">
        <v>0</v>
      </c>
      <c r="W287" s="2">
        <v>0</v>
      </c>
      <c r="X287" s="109">
        <v>0</v>
      </c>
    </row>
    <row r="288" spans="2:24" x14ac:dyDescent="0.25">
      <c r="B288">
        <v>20120992</v>
      </c>
      <c r="C288" s="103">
        <v>3204.3</v>
      </c>
      <c r="D288" s="108">
        <v>3178.7</v>
      </c>
      <c r="E288" s="99">
        <v>3.4211499999999998E-6</v>
      </c>
      <c r="F288" s="99">
        <v>2.0309000000000002E-5</v>
      </c>
      <c r="G288" s="132">
        <v>3.4211499999999998E-6</v>
      </c>
      <c r="H288" s="133">
        <v>4.9814500000000004E-6</v>
      </c>
      <c r="I288" s="100">
        <v>4.9999999999999998E-7</v>
      </c>
      <c r="J288" s="133">
        <v>4.9814500000000004E-6</v>
      </c>
      <c r="K288" s="100">
        <v>4.9999999999999998E-7</v>
      </c>
      <c r="L288" s="118">
        <v>4.9999999999999998E-7</v>
      </c>
      <c r="M288" s="2">
        <v>0</v>
      </c>
      <c r="N288" s="2">
        <v>7</v>
      </c>
      <c r="O288" s="2">
        <v>1</v>
      </c>
      <c r="P288" s="126">
        <v>0</v>
      </c>
      <c r="Q288" s="106">
        <v>0</v>
      </c>
      <c r="R288" s="127">
        <v>1</v>
      </c>
      <c r="S288" s="2">
        <v>0</v>
      </c>
      <c r="T288" s="2">
        <v>1</v>
      </c>
      <c r="U288" s="127">
        <v>0</v>
      </c>
      <c r="V288" s="2">
        <v>0</v>
      </c>
      <c r="W288" s="2">
        <v>0</v>
      </c>
      <c r="X288" s="109">
        <v>0</v>
      </c>
    </row>
    <row r="289" spans="1:24" x14ac:dyDescent="0.25">
      <c r="B289">
        <v>20121009</v>
      </c>
      <c r="C289" s="103">
        <v>61326</v>
      </c>
      <c r="D289" s="108">
        <v>7624.8</v>
      </c>
      <c r="E289" s="99">
        <v>8.8304299999999994E-5</v>
      </c>
      <c r="F289" s="99">
        <v>8.0032599999999997E-5</v>
      </c>
      <c r="G289" s="132">
        <v>1.48167E-5</v>
      </c>
      <c r="H289" s="133">
        <v>2.7156800000000001E-5</v>
      </c>
      <c r="I289" s="99">
        <v>6.97139E-6</v>
      </c>
      <c r="J289" s="133">
        <v>1.4696599999999999E-5</v>
      </c>
      <c r="K289" s="100">
        <v>4.9999999999999998E-7</v>
      </c>
      <c r="L289" s="118">
        <v>4.9999999999999998E-7</v>
      </c>
      <c r="M289" s="2">
        <v>26</v>
      </c>
      <c r="N289" s="2">
        <v>5</v>
      </c>
      <c r="O289" s="2">
        <v>29</v>
      </c>
      <c r="P289" s="126">
        <v>1</v>
      </c>
      <c r="Q289" s="106">
        <v>2</v>
      </c>
      <c r="R289" s="127">
        <v>3</v>
      </c>
      <c r="S289" s="2">
        <v>0</v>
      </c>
      <c r="T289" s="2">
        <v>1</v>
      </c>
      <c r="U289" s="127">
        <v>1</v>
      </c>
      <c r="V289" s="2">
        <v>0</v>
      </c>
      <c r="W289" s="2">
        <v>0</v>
      </c>
      <c r="X289" s="109">
        <v>0</v>
      </c>
    </row>
    <row r="290" spans="1:24" x14ac:dyDescent="0.25">
      <c r="B290">
        <v>20121026</v>
      </c>
      <c r="C290" s="103">
        <v>1151.9000000000001</v>
      </c>
      <c r="D290" s="108">
        <v>1148.9000000000001</v>
      </c>
      <c r="E290" s="99">
        <v>8.9883399999999994E-5</v>
      </c>
      <c r="F290" s="99">
        <v>1.07076E-4</v>
      </c>
      <c r="G290" s="132">
        <v>8.9883399999999994E-5</v>
      </c>
      <c r="H290" s="133">
        <v>9.0113100000000003E-5</v>
      </c>
      <c r="I290" s="99">
        <v>8.9883399999999994E-5</v>
      </c>
      <c r="J290" s="133">
        <v>9.0113100000000003E-5</v>
      </c>
      <c r="K290" s="99">
        <v>8.1423799999999998E-5</v>
      </c>
      <c r="L290" s="116">
        <v>8.16319E-5</v>
      </c>
      <c r="M290" s="2">
        <v>0</v>
      </c>
      <c r="N290" s="2">
        <v>4</v>
      </c>
      <c r="O290" s="2">
        <v>2</v>
      </c>
      <c r="P290" s="126">
        <v>0</v>
      </c>
      <c r="Q290" s="106">
        <v>0</v>
      </c>
      <c r="R290" s="127">
        <v>2</v>
      </c>
      <c r="S290" s="2">
        <v>0</v>
      </c>
      <c r="T290" s="2">
        <v>0</v>
      </c>
      <c r="U290" s="127">
        <v>2</v>
      </c>
      <c r="V290" s="2">
        <v>0</v>
      </c>
      <c r="W290" s="2">
        <v>0</v>
      </c>
      <c r="X290" s="109">
        <v>1</v>
      </c>
    </row>
    <row r="291" spans="1:24" x14ac:dyDescent="0.25">
      <c r="B291">
        <v>20121040</v>
      </c>
      <c r="C291" s="103">
        <v>7796.9</v>
      </c>
      <c r="D291" s="108">
        <v>6266.5</v>
      </c>
      <c r="E291" s="99">
        <v>1.31224E-5</v>
      </c>
      <c r="F291" s="99">
        <v>2.91559E-5</v>
      </c>
      <c r="G291" s="134">
        <v>4.9999999999999998E-7</v>
      </c>
      <c r="H291" s="135">
        <v>4.9999999999999998E-7</v>
      </c>
      <c r="I291" s="100">
        <v>4.9999999999999998E-7</v>
      </c>
      <c r="J291" s="135">
        <v>4.9999999999999998E-7</v>
      </c>
      <c r="K291" s="100">
        <v>4.9999999999999998E-7</v>
      </c>
      <c r="L291" s="118">
        <v>4.9999999999999998E-7</v>
      </c>
      <c r="M291" s="2">
        <v>0</v>
      </c>
      <c r="N291" s="2">
        <v>13</v>
      </c>
      <c r="O291" s="2">
        <v>5</v>
      </c>
      <c r="P291" s="126">
        <v>0</v>
      </c>
      <c r="Q291" s="106">
        <v>0</v>
      </c>
      <c r="R291" s="127">
        <v>0</v>
      </c>
      <c r="S291" s="2">
        <v>0</v>
      </c>
      <c r="T291" s="2">
        <v>0</v>
      </c>
      <c r="U291" s="127">
        <v>0</v>
      </c>
      <c r="V291" s="2">
        <v>0</v>
      </c>
      <c r="W291" s="2">
        <v>0</v>
      </c>
      <c r="X291" s="109">
        <v>0</v>
      </c>
    </row>
    <row r="292" spans="1:24" x14ac:dyDescent="0.25">
      <c r="B292">
        <v>20121047</v>
      </c>
      <c r="C292" s="103">
        <v>2370.1999999999998</v>
      </c>
      <c r="D292" s="108">
        <v>2359.6</v>
      </c>
      <c r="E292" s="99">
        <v>7.5026900000000005E-5</v>
      </c>
      <c r="F292" s="99">
        <v>1.3731099999999999E-4</v>
      </c>
      <c r="G292" s="132">
        <v>6.1666000000000002E-5</v>
      </c>
      <c r="H292" s="133">
        <v>6.8655499999999993E-5</v>
      </c>
      <c r="I292" s="99">
        <v>6.1666000000000002E-5</v>
      </c>
      <c r="J292" s="133">
        <v>6.3493399999999998E-5</v>
      </c>
      <c r="K292" s="99">
        <v>6.1666000000000002E-5</v>
      </c>
      <c r="L292" s="116">
        <v>6.1428599999999997E-5</v>
      </c>
      <c r="M292" s="2">
        <v>0</v>
      </c>
      <c r="N292" s="2">
        <v>26</v>
      </c>
      <c r="O292" s="2">
        <v>5</v>
      </c>
      <c r="P292" s="126">
        <v>0</v>
      </c>
      <c r="Q292" s="106">
        <v>3</v>
      </c>
      <c r="R292" s="127">
        <v>2</v>
      </c>
      <c r="S292" s="2">
        <v>0</v>
      </c>
      <c r="T292" s="2">
        <v>1</v>
      </c>
      <c r="U292" s="127">
        <v>2</v>
      </c>
      <c r="V292" s="2">
        <v>0</v>
      </c>
      <c r="W292" s="2">
        <v>0</v>
      </c>
      <c r="X292" s="109">
        <v>2</v>
      </c>
    </row>
    <row r="293" spans="1:24" x14ac:dyDescent="0.25">
      <c r="B293">
        <v>20121105</v>
      </c>
      <c r="C293" s="103">
        <v>6923.3</v>
      </c>
      <c r="D293" s="108">
        <v>6031.7</v>
      </c>
      <c r="E293" s="99">
        <v>3.70162E-4</v>
      </c>
      <c r="F293" s="99">
        <v>4.2568400000000001E-4</v>
      </c>
      <c r="G293" s="132">
        <v>3.54328E-4</v>
      </c>
      <c r="H293" s="133">
        <v>3.9115299999999999E-4</v>
      </c>
      <c r="I293" s="99">
        <v>3.3532700000000001E-4</v>
      </c>
      <c r="J293" s="133">
        <v>3.8004599999999999E-4</v>
      </c>
      <c r="K293" s="99">
        <v>3.2389099999999998E-4</v>
      </c>
      <c r="L293" s="116">
        <v>3.7035300000000002E-4</v>
      </c>
      <c r="M293" s="2">
        <v>0</v>
      </c>
      <c r="N293" s="2">
        <v>13</v>
      </c>
      <c r="O293" s="2">
        <v>11</v>
      </c>
      <c r="P293" s="126">
        <v>2</v>
      </c>
      <c r="Q293" s="106">
        <v>1</v>
      </c>
      <c r="R293" s="127">
        <v>4</v>
      </c>
      <c r="S293" s="2">
        <v>0</v>
      </c>
      <c r="T293" s="2">
        <v>0</v>
      </c>
      <c r="U293" s="127">
        <v>2</v>
      </c>
      <c r="V293" s="2">
        <v>0</v>
      </c>
      <c r="W293" s="2">
        <v>0</v>
      </c>
      <c r="X293" s="109">
        <v>1</v>
      </c>
    </row>
    <row r="294" spans="1:24" x14ac:dyDescent="0.25">
      <c r="B294">
        <v>20121116</v>
      </c>
      <c r="C294" s="103">
        <v>17877.599999999999</v>
      </c>
      <c r="D294" s="108">
        <v>7012.2</v>
      </c>
      <c r="E294" s="99">
        <v>5.6753399999999998E-5</v>
      </c>
      <c r="F294" s="99">
        <v>8.1118600000000006E-5</v>
      </c>
      <c r="G294" s="132">
        <v>1.42394E-5</v>
      </c>
      <c r="H294" s="133">
        <v>1.5112E-5</v>
      </c>
      <c r="I294" s="99">
        <v>1.05604E-5</v>
      </c>
      <c r="J294" s="133">
        <v>3.30033E-6</v>
      </c>
      <c r="K294" s="100">
        <v>4.9999999999999998E-7</v>
      </c>
      <c r="L294" s="118">
        <v>4.9999999999999998E-7</v>
      </c>
      <c r="M294" s="2">
        <v>8</v>
      </c>
      <c r="N294" s="2">
        <v>22</v>
      </c>
      <c r="O294" s="2">
        <v>29</v>
      </c>
      <c r="P294" s="126">
        <v>1</v>
      </c>
      <c r="Q294" s="106">
        <v>0</v>
      </c>
      <c r="R294" s="127">
        <v>5</v>
      </c>
      <c r="S294" s="2">
        <v>2</v>
      </c>
      <c r="T294" s="2">
        <v>1</v>
      </c>
      <c r="U294" s="127">
        <v>0</v>
      </c>
      <c r="V294" s="2">
        <v>0</v>
      </c>
      <c r="W294" s="2">
        <v>0</v>
      </c>
      <c r="X294" s="109">
        <v>0</v>
      </c>
    </row>
    <row r="295" spans="1:24" x14ac:dyDescent="0.25">
      <c r="B295">
        <v>20121156</v>
      </c>
      <c r="C295" s="103" t="s">
        <v>49</v>
      </c>
      <c r="D295" s="108" t="s">
        <v>49</v>
      </c>
      <c r="E295" s="99" t="s">
        <v>49</v>
      </c>
      <c r="F295" s="99" t="s">
        <v>49</v>
      </c>
      <c r="G295" s="132" t="s">
        <v>49</v>
      </c>
      <c r="H295" s="133" t="s">
        <v>49</v>
      </c>
      <c r="I295" s="99" t="s">
        <v>49</v>
      </c>
      <c r="J295" s="133" t="s">
        <v>49</v>
      </c>
      <c r="K295" s="99" t="s">
        <v>49</v>
      </c>
      <c r="L295" s="116" t="s">
        <v>49</v>
      </c>
      <c r="M295" s="2" t="s">
        <v>49</v>
      </c>
      <c r="N295" s="2" t="s">
        <v>49</v>
      </c>
      <c r="O295" s="2" t="s">
        <v>49</v>
      </c>
      <c r="P295" s="126" t="s">
        <v>49</v>
      </c>
      <c r="Q295" s="106" t="s">
        <v>49</v>
      </c>
      <c r="R295" s="127" t="s">
        <v>49</v>
      </c>
      <c r="S295" s="2" t="s">
        <v>49</v>
      </c>
      <c r="T295" s="2" t="s">
        <v>49</v>
      </c>
      <c r="U295" s="127" t="s">
        <v>49</v>
      </c>
      <c r="V295" s="2" t="s">
        <v>49</v>
      </c>
      <c r="W295" s="2" t="s">
        <v>49</v>
      </c>
      <c r="X295" s="109" t="s">
        <v>49</v>
      </c>
    </row>
    <row r="296" spans="1:24" x14ac:dyDescent="0.25">
      <c r="B296">
        <v>20121201</v>
      </c>
      <c r="C296" s="103" t="s">
        <v>49</v>
      </c>
      <c r="D296" s="108" t="s">
        <v>49</v>
      </c>
      <c r="E296" s="99" t="s">
        <v>49</v>
      </c>
      <c r="F296" s="99" t="s">
        <v>49</v>
      </c>
      <c r="G296" s="132" t="s">
        <v>49</v>
      </c>
      <c r="H296" s="133" t="s">
        <v>49</v>
      </c>
      <c r="I296" s="99" t="s">
        <v>49</v>
      </c>
      <c r="J296" s="133" t="s">
        <v>49</v>
      </c>
      <c r="K296" s="99" t="s">
        <v>49</v>
      </c>
      <c r="L296" s="116" t="s">
        <v>49</v>
      </c>
      <c r="M296" s="2" t="s">
        <v>49</v>
      </c>
      <c r="N296" s="2" t="s">
        <v>49</v>
      </c>
      <c r="O296" s="2" t="s">
        <v>49</v>
      </c>
      <c r="P296" s="126" t="s">
        <v>49</v>
      </c>
      <c r="Q296" s="106" t="s">
        <v>49</v>
      </c>
      <c r="R296" s="127" t="s">
        <v>49</v>
      </c>
      <c r="S296" s="2" t="s">
        <v>49</v>
      </c>
      <c r="T296" s="2" t="s">
        <v>49</v>
      </c>
      <c r="U296" s="127" t="s">
        <v>49</v>
      </c>
      <c r="V296" s="2" t="s">
        <v>49</v>
      </c>
      <c r="W296" s="2" t="s">
        <v>49</v>
      </c>
      <c r="X296" s="109" t="s">
        <v>49</v>
      </c>
    </row>
    <row r="297" spans="1:24" x14ac:dyDescent="0.25">
      <c r="B297">
        <v>20121208</v>
      </c>
      <c r="C297" s="103">
        <v>9846</v>
      </c>
      <c r="D297" s="108">
        <v>6559.4</v>
      </c>
      <c r="E297" s="99">
        <v>2.3999399999999999E-5</v>
      </c>
      <c r="F297" s="99">
        <v>3.2681900000000003E-5</v>
      </c>
      <c r="G297" s="132">
        <v>6.6802500000000001E-6</v>
      </c>
      <c r="H297" s="133">
        <v>5.0136900000000001E-6</v>
      </c>
      <c r="I297" s="99">
        <v>3.4638300000000002E-6</v>
      </c>
      <c r="J297" s="133">
        <v>2.4140000000000001E-6</v>
      </c>
      <c r="K297" s="99">
        <v>1.85562E-6</v>
      </c>
      <c r="L297" s="118">
        <v>4.9999999999999998E-7</v>
      </c>
      <c r="M297" s="2">
        <v>0</v>
      </c>
      <c r="N297" s="2">
        <v>6</v>
      </c>
      <c r="O297" s="2">
        <v>11</v>
      </c>
      <c r="P297" s="126">
        <v>2</v>
      </c>
      <c r="Q297" s="106">
        <v>1</v>
      </c>
      <c r="R297" s="127">
        <v>2</v>
      </c>
      <c r="S297" s="2">
        <v>1</v>
      </c>
      <c r="T297" s="2">
        <v>0</v>
      </c>
      <c r="U297" s="127">
        <v>1</v>
      </c>
      <c r="V297" s="2">
        <v>1</v>
      </c>
      <c r="W297" s="2">
        <v>0</v>
      </c>
      <c r="X297" s="109">
        <v>0</v>
      </c>
    </row>
    <row r="298" spans="1:24" x14ac:dyDescent="0.25">
      <c r="A298" s="110"/>
      <c r="B298" s="110">
        <v>20121380</v>
      </c>
      <c r="C298" s="111">
        <v>2532.4</v>
      </c>
      <c r="D298" s="112">
        <v>2524.8000000000002</v>
      </c>
      <c r="E298" s="142">
        <v>1.35249E-3</v>
      </c>
      <c r="F298" s="142">
        <v>1.33971E-3</v>
      </c>
      <c r="G298" s="143">
        <v>1.33277E-3</v>
      </c>
      <c r="H298" s="144">
        <v>1.28134E-3</v>
      </c>
      <c r="I298" s="142">
        <v>1.3236299999999999E-3</v>
      </c>
      <c r="J298" s="144">
        <v>1.26253E-3</v>
      </c>
      <c r="K298" s="142">
        <v>1.1879900000000001E-3</v>
      </c>
      <c r="L298" s="145">
        <v>1.1279300000000001E-3</v>
      </c>
      <c r="M298" s="81">
        <v>1</v>
      </c>
      <c r="N298" s="81">
        <v>22</v>
      </c>
      <c r="O298" s="81">
        <v>43</v>
      </c>
      <c r="P298" s="146">
        <v>1</v>
      </c>
      <c r="Q298" s="81">
        <v>5</v>
      </c>
      <c r="R298" s="147">
        <v>38</v>
      </c>
      <c r="S298" s="81">
        <v>1</v>
      </c>
      <c r="T298" s="81">
        <v>0</v>
      </c>
      <c r="U298" s="147">
        <v>36</v>
      </c>
      <c r="V298" s="81">
        <v>1</v>
      </c>
      <c r="W298" s="81">
        <v>0</v>
      </c>
      <c r="X298" s="148">
        <v>23</v>
      </c>
    </row>
  </sheetData>
  <sheetProtection algorithmName="SHA-512" hashValue="m+GNt3PsrgOjJXkHgwUso2alFvggyf3Qd4cM/WO4WouHeIRXSRAxa8ycSbDaf/+cxV+N4X8oextw/mDEI3CPfg==" saltValue="C9E8iQXR9JRu9jVSZRWYRg==" spinCount="100000" sheet="1" objects="1" scenarios="1" formatCells="0" formatColumns="0" formatRows="0"/>
  <mergeCells count="12">
    <mergeCell ref="S10:U10"/>
    <mergeCell ref="V10:X10"/>
    <mergeCell ref="C9:D9"/>
    <mergeCell ref="E9:L9"/>
    <mergeCell ref="M9:X9"/>
    <mergeCell ref="C10:D10"/>
    <mergeCell ref="E10:F10"/>
    <mergeCell ref="G10:H10"/>
    <mergeCell ref="I10:J10"/>
    <mergeCell ref="K10:L10"/>
    <mergeCell ref="M10:O10"/>
    <mergeCell ref="P10:R1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49"/>
  <sheetViews>
    <sheetView zoomScaleNormal="100" workbookViewId="0"/>
  </sheetViews>
  <sheetFormatPr defaultRowHeight="15.75" x14ac:dyDescent="0.25"/>
  <cols>
    <col min="1" max="1" width="10.625" customWidth="1"/>
    <col min="2" max="2" width="7.25" customWidth="1"/>
    <col min="3" max="3" width="6.375" customWidth="1"/>
    <col min="5" max="5" width="12" customWidth="1"/>
    <col min="6" max="6" width="15.875" customWidth="1"/>
    <col min="7" max="7" width="6.375" customWidth="1"/>
  </cols>
  <sheetData>
    <row r="1" spans="1:9" ht="21" x14ac:dyDescent="0.35">
      <c r="A1" s="9" t="s">
        <v>1130</v>
      </c>
    </row>
    <row r="3" spans="1:9" x14ac:dyDescent="0.25">
      <c r="A3" t="s">
        <v>1118</v>
      </c>
    </row>
    <row r="4" spans="1:9" x14ac:dyDescent="0.25">
      <c r="A4" t="s">
        <v>1119</v>
      </c>
    </row>
    <row r="5" spans="1:9" x14ac:dyDescent="0.25">
      <c r="A5" t="s">
        <v>1128</v>
      </c>
    </row>
    <row r="6" spans="1:9" x14ac:dyDescent="0.25">
      <c r="A6" t="s">
        <v>1129</v>
      </c>
    </row>
    <row r="9" spans="1:9" ht="18" customHeight="1" x14ac:dyDescent="0.25">
      <c r="A9" s="161" t="s">
        <v>1066</v>
      </c>
      <c r="B9" s="173" t="s">
        <v>42</v>
      </c>
      <c r="C9" s="173"/>
      <c r="D9" s="173"/>
      <c r="E9" s="161" t="s">
        <v>43</v>
      </c>
      <c r="F9" s="163" t="s">
        <v>1121</v>
      </c>
      <c r="G9" s="161" t="s">
        <v>44</v>
      </c>
      <c r="H9" s="161" t="s">
        <v>1126</v>
      </c>
      <c r="I9" s="161" t="s">
        <v>1123</v>
      </c>
    </row>
    <row r="10" spans="1:9" x14ac:dyDescent="0.25">
      <c r="A10" s="162"/>
      <c r="B10" s="80" t="s">
        <v>45</v>
      </c>
      <c r="C10" s="80" t="s">
        <v>46</v>
      </c>
      <c r="D10" s="80" t="s">
        <v>47</v>
      </c>
      <c r="E10" s="162"/>
      <c r="F10" s="164"/>
      <c r="G10" s="162"/>
      <c r="H10" s="162"/>
      <c r="I10" s="162"/>
    </row>
    <row r="11" spans="1:9" x14ac:dyDescent="0.25">
      <c r="A11" s="2" t="s">
        <v>57</v>
      </c>
      <c r="B11" s="2">
        <v>2009</v>
      </c>
      <c r="C11" s="2">
        <v>40</v>
      </c>
      <c r="D11" s="84">
        <v>40084</v>
      </c>
      <c r="E11" s="2">
        <v>20094785</v>
      </c>
      <c r="F11" s="84" t="s">
        <v>49</v>
      </c>
      <c r="G11" s="2">
        <v>29</v>
      </c>
      <c r="H11" s="2">
        <v>29.8</v>
      </c>
      <c r="I11" s="2" t="s">
        <v>53</v>
      </c>
    </row>
    <row r="12" spans="1:9" x14ac:dyDescent="0.25">
      <c r="A12" s="2"/>
      <c r="B12" s="2">
        <v>2009</v>
      </c>
      <c r="C12" s="2">
        <v>42</v>
      </c>
      <c r="D12" s="84">
        <v>40098</v>
      </c>
      <c r="E12" s="2">
        <v>20095121</v>
      </c>
      <c r="F12" s="84">
        <v>40096</v>
      </c>
      <c r="G12" s="2">
        <v>13</v>
      </c>
      <c r="H12" s="2">
        <v>29.15</v>
      </c>
      <c r="I12" s="2" t="s">
        <v>54</v>
      </c>
    </row>
    <row r="13" spans="1:9" x14ac:dyDescent="0.25">
      <c r="A13" s="2"/>
      <c r="B13" s="2">
        <v>2009</v>
      </c>
      <c r="C13" s="2">
        <v>42</v>
      </c>
      <c r="D13" s="84">
        <v>40098</v>
      </c>
      <c r="E13" s="22">
        <v>20095267</v>
      </c>
      <c r="F13" s="84">
        <v>40096</v>
      </c>
      <c r="G13" s="2">
        <v>13</v>
      </c>
      <c r="H13" s="2">
        <v>30.07</v>
      </c>
      <c r="I13" s="2" t="s">
        <v>54</v>
      </c>
    </row>
    <row r="14" spans="1:9" x14ac:dyDescent="0.25">
      <c r="A14" s="2"/>
      <c r="B14" s="2">
        <v>2009</v>
      </c>
      <c r="C14" s="2">
        <v>42</v>
      </c>
      <c r="D14" s="84">
        <v>40099</v>
      </c>
      <c r="E14" s="2">
        <v>20095236</v>
      </c>
      <c r="F14" s="84">
        <v>40098</v>
      </c>
      <c r="G14" s="2">
        <v>6</v>
      </c>
      <c r="H14" s="2">
        <v>22.76</v>
      </c>
      <c r="I14" s="2" t="s">
        <v>54</v>
      </c>
    </row>
    <row r="15" spans="1:9" x14ac:dyDescent="0.25">
      <c r="A15" s="2"/>
      <c r="B15" s="2">
        <v>2009</v>
      </c>
      <c r="C15" s="2">
        <v>42</v>
      </c>
      <c r="D15" s="84">
        <v>40100</v>
      </c>
      <c r="E15" s="2">
        <v>20095383</v>
      </c>
      <c r="F15" s="84">
        <v>40100</v>
      </c>
      <c r="G15" s="2">
        <v>29</v>
      </c>
      <c r="H15" s="2">
        <v>27.06</v>
      </c>
      <c r="I15" s="2" t="s">
        <v>54</v>
      </c>
    </row>
    <row r="16" spans="1:9" x14ac:dyDescent="0.25">
      <c r="A16" s="2"/>
      <c r="B16" s="2">
        <v>2009</v>
      </c>
      <c r="C16" s="2">
        <v>43</v>
      </c>
      <c r="D16" s="84">
        <v>40105</v>
      </c>
      <c r="E16" s="2">
        <v>20095452</v>
      </c>
      <c r="F16" s="84">
        <v>40104</v>
      </c>
      <c r="G16" s="2">
        <v>7</v>
      </c>
      <c r="H16" s="2">
        <v>24.54</v>
      </c>
      <c r="I16" s="2" t="s">
        <v>54</v>
      </c>
    </row>
    <row r="17" spans="1:9" x14ac:dyDescent="0.25">
      <c r="A17" s="2"/>
      <c r="B17" s="2">
        <v>2009</v>
      </c>
      <c r="C17" s="2">
        <v>43</v>
      </c>
      <c r="D17" s="84">
        <v>40105</v>
      </c>
      <c r="E17" s="2">
        <v>20095510</v>
      </c>
      <c r="F17" s="84">
        <v>40104</v>
      </c>
      <c r="G17" s="2">
        <v>16</v>
      </c>
      <c r="H17" s="2">
        <v>27.59</v>
      </c>
      <c r="I17" s="2" t="s">
        <v>54</v>
      </c>
    </row>
    <row r="18" spans="1:9" x14ac:dyDescent="0.25">
      <c r="A18" s="2"/>
      <c r="B18" s="2">
        <v>2009</v>
      </c>
      <c r="C18" s="2">
        <v>43</v>
      </c>
      <c r="D18" s="84">
        <v>40105</v>
      </c>
      <c r="E18" s="2">
        <v>20095501</v>
      </c>
      <c r="F18" s="84">
        <v>40104</v>
      </c>
      <c r="G18" s="2">
        <v>8</v>
      </c>
      <c r="H18" s="2">
        <v>23.25</v>
      </c>
      <c r="I18" s="2" t="s">
        <v>54</v>
      </c>
    </row>
    <row r="19" spans="1:9" x14ac:dyDescent="0.25">
      <c r="A19" s="2"/>
      <c r="B19" s="2">
        <v>2009</v>
      </c>
      <c r="C19" s="2">
        <v>43</v>
      </c>
      <c r="D19" s="84">
        <v>40105</v>
      </c>
      <c r="E19" s="2">
        <v>20095509</v>
      </c>
      <c r="F19" s="84">
        <v>40104</v>
      </c>
      <c r="G19" s="2">
        <v>45</v>
      </c>
      <c r="H19" s="2">
        <v>26.8</v>
      </c>
      <c r="I19" s="2" t="s">
        <v>54</v>
      </c>
    </row>
    <row r="20" spans="1:9" x14ac:dyDescent="0.25">
      <c r="A20" s="2"/>
      <c r="B20" s="2">
        <v>2009</v>
      </c>
      <c r="C20" s="2">
        <v>45</v>
      </c>
      <c r="D20" s="84">
        <v>40121</v>
      </c>
      <c r="E20" s="2">
        <v>20096069</v>
      </c>
      <c r="F20" s="84">
        <v>40119</v>
      </c>
      <c r="G20" s="2">
        <v>40</v>
      </c>
      <c r="H20" s="2">
        <v>26.63</v>
      </c>
      <c r="I20" s="2" t="s">
        <v>54</v>
      </c>
    </row>
    <row r="21" spans="1:9" x14ac:dyDescent="0.25">
      <c r="A21" s="2"/>
      <c r="B21" s="2">
        <v>2009</v>
      </c>
      <c r="C21" s="2">
        <v>45</v>
      </c>
      <c r="D21" s="84">
        <v>40123</v>
      </c>
      <c r="E21" s="2">
        <v>20096074</v>
      </c>
      <c r="F21" s="84" t="s">
        <v>49</v>
      </c>
      <c r="G21" s="2">
        <v>16</v>
      </c>
      <c r="H21" s="2">
        <v>25.49</v>
      </c>
      <c r="I21" s="2" t="s">
        <v>54</v>
      </c>
    </row>
    <row r="22" spans="1:9" x14ac:dyDescent="0.25">
      <c r="A22" s="2"/>
      <c r="B22" s="2">
        <v>2009</v>
      </c>
      <c r="C22" s="2">
        <v>48</v>
      </c>
      <c r="D22" s="84">
        <v>40144</v>
      </c>
      <c r="E22" s="2">
        <v>20097208</v>
      </c>
      <c r="F22" s="84" t="s">
        <v>49</v>
      </c>
      <c r="G22" s="2">
        <v>51</v>
      </c>
      <c r="H22" s="2">
        <v>30.76</v>
      </c>
      <c r="I22" s="2" t="s">
        <v>53</v>
      </c>
    </row>
    <row r="23" spans="1:9" x14ac:dyDescent="0.25">
      <c r="A23" s="2"/>
      <c r="B23" s="2">
        <v>2009</v>
      </c>
      <c r="C23" s="2">
        <v>48</v>
      </c>
      <c r="D23" s="84">
        <v>40144</v>
      </c>
      <c r="E23" s="22">
        <v>20101466</v>
      </c>
      <c r="F23" s="84" t="s">
        <v>49</v>
      </c>
      <c r="G23" s="2">
        <v>14</v>
      </c>
      <c r="H23" s="2">
        <v>32.06</v>
      </c>
      <c r="I23" s="2" t="s">
        <v>53</v>
      </c>
    </row>
    <row r="24" spans="1:9" x14ac:dyDescent="0.25">
      <c r="A24" s="2"/>
      <c r="B24" s="2">
        <v>2009</v>
      </c>
      <c r="C24" s="2">
        <v>49</v>
      </c>
      <c r="D24" s="84">
        <v>40147</v>
      </c>
      <c r="E24" s="22">
        <v>20097214</v>
      </c>
      <c r="F24" s="84">
        <v>40144</v>
      </c>
      <c r="G24" s="2">
        <v>47</v>
      </c>
      <c r="H24" s="2">
        <v>28.7</v>
      </c>
      <c r="I24" s="2" t="s">
        <v>54</v>
      </c>
    </row>
    <row r="25" spans="1:9" x14ac:dyDescent="0.25">
      <c r="A25" s="2"/>
      <c r="B25" s="2">
        <v>2009</v>
      </c>
      <c r="C25" s="2">
        <v>50</v>
      </c>
      <c r="D25" s="84">
        <v>40158</v>
      </c>
      <c r="E25" s="22">
        <v>20101450</v>
      </c>
      <c r="F25" s="84" t="s">
        <v>49</v>
      </c>
      <c r="G25" s="2">
        <v>35</v>
      </c>
      <c r="H25" s="2">
        <v>24.46</v>
      </c>
      <c r="I25" s="2" t="s">
        <v>53</v>
      </c>
    </row>
    <row r="26" spans="1:9" x14ac:dyDescent="0.25">
      <c r="A26" s="2"/>
      <c r="B26" s="2">
        <v>2009</v>
      </c>
      <c r="C26" s="2">
        <v>51</v>
      </c>
      <c r="D26" s="84">
        <v>40161</v>
      </c>
      <c r="E26" s="2">
        <v>20097575</v>
      </c>
      <c r="F26" s="84">
        <v>40160</v>
      </c>
      <c r="G26" s="2">
        <v>5</v>
      </c>
      <c r="H26" s="2">
        <v>26.52</v>
      </c>
      <c r="I26" s="2" t="s">
        <v>54</v>
      </c>
    </row>
    <row r="27" spans="1:9" x14ac:dyDescent="0.25">
      <c r="A27" s="2"/>
      <c r="B27" s="2">
        <v>2009</v>
      </c>
      <c r="C27" s="2">
        <v>51</v>
      </c>
      <c r="D27" s="84">
        <v>40161</v>
      </c>
      <c r="E27" s="2">
        <v>20097608</v>
      </c>
      <c r="F27" s="84">
        <v>40160</v>
      </c>
      <c r="G27" s="2">
        <v>3</v>
      </c>
      <c r="H27" s="2">
        <v>23.27</v>
      </c>
      <c r="I27" s="2" t="s">
        <v>54</v>
      </c>
    </row>
    <row r="28" spans="1:9" x14ac:dyDescent="0.25">
      <c r="A28" s="2"/>
      <c r="B28" s="2">
        <v>2009</v>
      </c>
      <c r="C28" s="2">
        <v>51</v>
      </c>
      <c r="D28" s="84">
        <v>40163</v>
      </c>
      <c r="E28" s="2">
        <v>20097661</v>
      </c>
      <c r="F28" s="84">
        <v>40161</v>
      </c>
      <c r="G28" s="2">
        <v>30</v>
      </c>
      <c r="H28" s="2">
        <v>24.56</v>
      </c>
      <c r="I28" s="2" t="s">
        <v>54</v>
      </c>
    </row>
    <row r="29" spans="1:9" x14ac:dyDescent="0.25">
      <c r="A29" s="2"/>
      <c r="B29" s="2">
        <v>2009</v>
      </c>
      <c r="C29" s="2">
        <v>51</v>
      </c>
      <c r="D29" s="84">
        <v>40163</v>
      </c>
      <c r="E29" s="2">
        <v>20097639</v>
      </c>
      <c r="F29" s="84">
        <v>40163</v>
      </c>
      <c r="G29" s="2">
        <v>40</v>
      </c>
      <c r="H29" s="2">
        <v>21.98</v>
      </c>
      <c r="I29" s="2" t="s">
        <v>54</v>
      </c>
    </row>
    <row r="30" spans="1:9" x14ac:dyDescent="0.25">
      <c r="A30" s="81"/>
      <c r="B30" s="81">
        <v>2010</v>
      </c>
      <c r="C30" s="81">
        <v>4</v>
      </c>
      <c r="D30" s="85">
        <v>40204</v>
      </c>
      <c r="E30" s="81">
        <v>20100450</v>
      </c>
      <c r="F30" s="85">
        <v>40203</v>
      </c>
      <c r="G30" s="81">
        <v>20</v>
      </c>
      <c r="H30" s="81">
        <v>27.78</v>
      </c>
      <c r="I30" s="81" t="s">
        <v>54</v>
      </c>
    </row>
    <row r="31" spans="1:9" x14ac:dyDescent="0.25">
      <c r="A31" s="2" t="s">
        <v>55</v>
      </c>
      <c r="B31" s="2">
        <v>2010</v>
      </c>
      <c r="C31" s="2">
        <v>48</v>
      </c>
      <c r="D31" s="84">
        <v>40515</v>
      </c>
      <c r="E31" s="2">
        <v>20101910</v>
      </c>
      <c r="F31" s="84">
        <v>40514</v>
      </c>
      <c r="G31" s="2">
        <v>19</v>
      </c>
      <c r="H31" s="2">
        <v>29.61</v>
      </c>
      <c r="I31" s="2" t="s">
        <v>54</v>
      </c>
    </row>
    <row r="32" spans="1:9" x14ac:dyDescent="0.25">
      <c r="A32" s="2"/>
      <c r="B32" s="2">
        <v>2010</v>
      </c>
      <c r="C32" s="2">
        <v>50</v>
      </c>
      <c r="D32" s="84">
        <v>40530</v>
      </c>
      <c r="E32" s="2">
        <v>20102111</v>
      </c>
      <c r="F32" s="84">
        <v>40529</v>
      </c>
      <c r="G32" s="2">
        <v>49</v>
      </c>
      <c r="H32" s="2">
        <v>22.59</v>
      </c>
      <c r="I32" s="2" t="s">
        <v>54</v>
      </c>
    </row>
    <row r="33" spans="1:9" x14ac:dyDescent="0.25">
      <c r="A33" s="2"/>
      <c r="B33" s="2">
        <v>2010</v>
      </c>
      <c r="C33" s="2">
        <v>51</v>
      </c>
      <c r="D33" s="84">
        <v>40532</v>
      </c>
      <c r="E33" s="2">
        <v>20102207</v>
      </c>
      <c r="F33" s="84" t="s">
        <v>49</v>
      </c>
      <c r="G33" s="2">
        <v>58</v>
      </c>
      <c r="H33" s="2">
        <v>21.05</v>
      </c>
      <c r="I33" s="2" t="s">
        <v>53</v>
      </c>
    </row>
    <row r="34" spans="1:9" x14ac:dyDescent="0.25">
      <c r="A34" s="2"/>
      <c r="B34" s="2">
        <v>2010</v>
      </c>
      <c r="C34" s="2">
        <v>52</v>
      </c>
      <c r="D34" s="84">
        <v>40539</v>
      </c>
      <c r="E34" s="2">
        <v>20102251</v>
      </c>
      <c r="F34" s="84">
        <v>40538</v>
      </c>
      <c r="G34" s="2">
        <v>29</v>
      </c>
      <c r="H34" s="2">
        <v>29.65</v>
      </c>
      <c r="I34" s="2" t="s">
        <v>54</v>
      </c>
    </row>
    <row r="35" spans="1:9" x14ac:dyDescent="0.25">
      <c r="A35" s="2"/>
      <c r="B35" s="2">
        <v>2010</v>
      </c>
      <c r="C35" s="2">
        <v>52</v>
      </c>
      <c r="D35" s="84">
        <v>40540</v>
      </c>
      <c r="E35" s="2">
        <v>20102236</v>
      </c>
      <c r="F35" s="84">
        <v>40539</v>
      </c>
      <c r="G35" s="2">
        <v>52</v>
      </c>
      <c r="H35" s="2">
        <v>21.49</v>
      </c>
      <c r="I35" s="2" t="s">
        <v>54</v>
      </c>
    </row>
    <row r="36" spans="1:9" x14ac:dyDescent="0.25">
      <c r="A36" s="2"/>
      <c r="B36" s="2">
        <v>2010</v>
      </c>
      <c r="C36" s="2">
        <v>52</v>
      </c>
      <c r="D36" s="84">
        <v>40542</v>
      </c>
      <c r="E36" s="2">
        <v>20102362</v>
      </c>
      <c r="F36" s="84">
        <v>40541</v>
      </c>
      <c r="G36" s="2">
        <v>83</v>
      </c>
      <c r="H36" s="2">
        <v>22.88</v>
      </c>
      <c r="I36" s="2" t="s">
        <v>53</v>
      </c>
    </row>
    <row r="37" spans="1:9" x14ac:dyDescent="0.25">
      <c r="A37" s="2"/>
      <c r="B37" s="2">
        <v>2011</v>
      </c>
      <c r="C37" s="2">
        <v>1</v>
      </c>
      <c r="D37" s="84">
        <v>40550</v>
      </c>
      <c r="E37" s="2">
        <v>20110104</v>
      </c>
      <c r="F37" s="84">
        <v>40547</v>
      </c>
      <c r="G37" s="2">
        <v>13</v>
      </c>
      <c r="H37" s="2">
        <v>24.09</v>
      </c>
      <c r="I37" s="2" t="s">
        <v>53</v>
      </c>
    </row>
    <row r="38" spans="1:9" x14ac:dyDescent="0.25">
      <c r="A38" s="2"/>
      <c r="B38" s="2">
        <v>2011</v>
      </c>
      <c r="C38" s="2">
        <v>2</v>
      </c>
      <c r="D38" s="84">
        <v>40553</v>
      </c>
      <c r="E38" s="2">
        <v>20110187</v>
      </c>
      <c r="F38" s="84">
        <v>40552</v>
      </c>
      <c r="G38" s="2">
        <v>16</v>
      </c>
      <c r="H38" s="2">
        <v>28.38</v>
      </c>
      <c r="I38" s="2" t="s">
        <v>54</v>
      </c>
    </row>
    <row r="39" spans="1:9" x14ac:dyDescent="0.25">
      <c r="A39" s="2"/>
      <c r="B39" s="2">
        <v>2011</v>
      </c>
      <c r="C39" s="2">
        <v>2</v>
      </c>
      <c r="D39" s="84">
        <v>40556</v>
      </c>
      <c r="E39" s="2">
        <v>20110299</v>
      </c>
      <c r="F39" s="84" t="s">
        <v>49</v>
      </c>
      <c r="G39" s="2">
        <v>48</v>
      </c>
      <c r="H39" s="2">
        <v>21.38</v>
      </c>
      <c r="I39" s="2" t="s">
        <v>53</v>
      </c>
    </row>
    <row r="40" spans="1:9" x14ac:dyDescent="0.25">
      <c r="A40" s="2"/>
      <c r="B40" s="2">
        <v>2011</v>
      </c>
      <c r="C40" s="2">
        <v>2</v>
      </c>
      <c r="D40" s="84">
        <v>40557</v>
      </c>
      <c r="E40" s="2">
        <v>20110619</v>
      </c>
      <c r="F40" s="84" t="s">
        <v>49</v>
      </c>
      <c r="G40" s="2">
        <v>18</v>
      </c>
      <c r="H40" s="2">
        <v>30.49</v>
      </c>
      <c r="I40" s="2" t="s">
        <v>53</v>
      </c>
    </row>
    <row r="41" spans="1:9" x14ac:dyDescent="0.25">
      <c r="A41" s="2"/>
      <c r="B41" s="2">
        <v>2011</v>
      </c>
      <c r="C41" s="2">
        <v>3</v>
      </c>
      <c r="D41" s="84">
        <v>40562</v>
      </c>
      <c r="E41" s="2">
        <v>20110402</v>
      </c>
      <c r="F41" s="84">
        <v>40559</v>
      </c>
      <c r="G41" s="2">
        <v>33</v>
      </c>
      <c r="H41" s="2">
        <v>25.71</v>
      </c>
      <c r="I41" s="2" t="s">
        <v>54</v>
      </c>
    </row>
    <row r="42" spans="1:9" x14ac:dyDescent="0.25">
      <c r="A42" s="2"/>
      <c r="B42" s="2">
        <v>2011</v>
      </c>
      <c r="C42" s="2">
        <v>4</v>
      </c>
      <c r="D42" s="84">
        <v>40570</v>
      </c>
      <c r="E42" s="2">
        <v>20110602</v>
      </c>
      <c r="F42" s="84">
        <v>40564</v>
      </c>
      <c r="G42" s="2">
        <v>12</v>
      </c>
      <c r="H42" s="2">
        <v>23.71</v>
      </c>
      <c r="I42" s="2" t="s">
        <v>54</v>
      </c>
    </row>
    <row r="43" spans="1:9" x14ac:dyDescent="0.25">
      <c r="A43" s="2"/>
      <c r="B43" s="2">
        <v>2011</v>
      </c>
      <c r="C43" s="2">
        <v>4</v>
      </c>
      <c r="D43" s="84">
        <v>40571</v>
      </c>
      <c r="E43" s="22">
        <v>20110891</v>
      </c>
      <c r="F43" s="84" t="s">
        <v>49</v>
      </c>
      <c r="G43" s="2">
        <v>17</v>
      </c>
      <c r="H43" s="2">
        <v>26.55</v>
      </c>
      <c r="I43" s="2" t="s">
        <v>58</v>
      </c>
    </row>
    <row r="44" spans="1:9" x14ac:dyDescent="0.25">
      <c r="A44" s="2"/>
      <c r="B44" s="2">
        <v>2011</v>
      </c>
      <c r="C44" s="2">
        <v>7</v>
      </c>
      <c r="D44" s="84">
        <v>40591</v>
      </c>
      <c r="E44" s="2">
        <v>20111053</v>
      </c>
      <c r="F44" s="84">
        <v>40589</v>
      </c>
      <c r="G44" s="2">
        <v>38</v>
      </c>
      <c r="H44" s="2">
        <v>18.53</v>
      </c>
      <c r="I44" s="2" t="s">
        <v>54</v>
      </c>
    </row>
    <row r="45" spans="1:9" x14ac:dyDescent="0.25">
      <c r="A45" s="2"/>
      <c r="B45" s="2">
        <v>2011</v>
      </c>
      <c r="C45" s="2">
        <v>10</v>
      </c>
      <c r="D45" s="84">
        <v>40616</v>
      </c>
      <c r="E45" s="2">
        <v>20111249</v>
      </c>
      <c r="F45" s="84">
        <v>40613</v>
      </c>
      <c r="G45" s="2">
        <v>36</v>
      </c>
      <c r="H45" s="2">
        <v>33.729999999999997</v>
      </c>
      <c r="I45" s="2" t="s">
        <v>54</v>
      </c>
    </row>
    <row r="46" spans="1:9" x14ac:dyDescent="0.25">
      <c r="A46" s="81"/>
      <c r="B46" s="81">
        <v>2011</v>
      </c>
      <c r="C46" s="81">
        <v>11</v>
      </c>
      <c r="D46" s="85">
        <v>40624</v>
      </c>
      <c r="E46" s="81">
        <v>20111347</v>
      </c>
      <c r="F46" s="85">
        <v>40622</v>
      </c>
      <c r="G46" s="81">
        <v>12</v>
      </c>
      <c r="H46" s="81">
        <v>26.64</v>
      </c>
      <c r="I46" s="81" t="s">
        <v>54</v>
      </c>
    </row>
    <row r="47" spans="1:9" x14ac:dyDescent="0.25">
      <c r="A47" s="2" t="s">
        <v>56</v>
      </c>
      <c r="B47" s="2">
        <v>2012</v>
      </c>
      <c r="C47" s="2">
        <v>7</v>
      </c>
      <c r="D47" s="84">
        <v>40955</v>
      </c>
      <c r="E47" s="2">
        <v>20120568</v>
      </c>
      <c r="F47" s="84">
        <v>40955</v>
      </c>
      <c r="G47" s="2">
        <v>33</v>
      </c>
      <c r="H47" s="2">
        <v>20.81</v>
      </c>
      <c r="I47" s="2" t="s">
        <v>54</v>
      </c>
    </row>
    <row r="48" spans="1:9" x14ac:dyDescent="0.25">
      <c r="A48" s="2"/>
      <c r="B48" s="2">
        <v>2012</v>
      </c>
      <c r="C48" s="2">
        <v>12</v>
      </c>
      <c r="D48" s="84">
        <v>40989</v>
      </c>
      <c r="E48" s="2">
        <v>20121119</v>
      </c>
      <c r="F48" s="84" t="s">
        <v>49</v>
      </c>
      <c r="G48" s="2">
        <v>64</v>
      </c>
      <c r="H48" s="2">
        <v>27.7</v>
      </c>
      <c r="I48" s="2" t="s">
        <v>53</v>
      </c>
    </row>
    <row r="49" spans="1:9" x14ac:dyDescent="0.25">
      <c r="A49" s="81"/>
      <c r="B49" s="81">
        <v>2012</v>
      </c>
      <c r="C49" s="81">
        <v>14</v>
      </c>
      <c r="D49" s="85">
        <v>41002</v>
      </c>
      <c r="E49" s="81">
        <v>20121257</v>
      </c>
      <c r="F49" s="85">
        <v>41001</v>
      </c>
      <c r="G49" s="81">
        <v>32</v>
      </c>
      <c r="H49" s="81">
        <v>27.06</v>
      </c>
      <c r="I49" s="81" t="s">
        <v>54</v>
      </c>
    </row>
  </sheetData>
  <sheetProtection algorithmName="SHA-512" hashValue="qxQGCNATvwhmp+iD9TdPQSqJ/FWfFa9dd9B1JZdzgboA8PJ5+nEL2dRPYukyMaf5QckTb4C29/iHtAMLpZahzQ==" saltValue="Zos/0tLGyf46t67w5bvdeQ==" spinCount="100000" sheet="1" objects="1" scenarios="1" formatCells="0" formatColumns="0" formatRows="0"/>
  <mergeCells count="7">
    <mergeCell ref="H9:H10"/>
    <mergeCell ref="I9:I10"/>
    <mergeCell ref="B9:D9"/>
    <mergeCell ref="A9:A10"/>
    <mergeCell ref="E9:E10"/>
    <mergeCell ref="F9:F10"/>
    <mergeCell ref="G9:G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F107"/>
  <sheetViews>
    <sheetView zoomScaleNormal="100" workbookViewId="0">
      <pane xSplit="2" ySplit="12" topLeftCell="C13" activePane="bottomRight" state="frozen"/>
      <selection pane="topRight" activeCell="C1" sqref="C1"/>
      <selection pane="bottomLeft" activeCell="A12" sqref="A12"/>
      <selection pane="bottomRight"/>
    </sheetView>
  </sheetViews>
  <sheetFormatPr defaultColWidth="11.25" defaultRowHeight="15.75" x14ac:dyDescent="0.25"/>
  <cols>
    <col min="1" max="1" width="12.625" style="2" customWidth="1"/>
    <col min="2" max="2" width="6.75" style="2" customWidth="1"/>
    <col min="3" max="3" width="14.625" style="2" customWidth="1"/>
    <col min="4" max="4" width="5.5" style="2" customWidth="1"/>
    <col min="5" max="5" width="10.625" style="2" customWidth="1"/>
    <col min="6" max="7" width="10.875" style="2" bestFit="1" customWidth="1"/>
    <col min="8" max="16" width="9.75" style="2" bestFit="1" customWidth="1"/>
    <col min="17" max="17" width="8.125" style="2" bestFit="1" customWidth="1"/>
    <col min="18" max="18" width="9.75" style="2" bestFit="1" customWidth="1"/>
    <col min="19" max="19" width="9.625" style="2" bestFit="1" customWidth="1"/>
    <col min="20" max="20" width="8.25" style="2" customWidth="1"/>
    <col min="21" max="21" width="8.375" style="2" customWidth="1"/>
    <col min="22" max="22" width="7.25" style="2" customWidth="1"/>
    <col min="23" max="23" width="14.125" customWidth="1"/>
    <col min="24" max="31" width="10.375" customWidth="1"/>
    <col min="32" max="32" width="22.375" customWidth="1"/>
  </cols>
  <sheetData>
    <row r="1" spans="1:32" ht="21" x14ac:dyDescent="0.35">
      <c r="A1" s="9" t="s">
        <v>1069</v>
      </c>
      <c r="B1" s="6"/>
      <c r="C1" s="6"/>
    </row>
    <row r="2" spans="1:32" x14ac:dyDescent="0.25">
      <c r="A2" s="6"/>
      <c r="B2" s="6"/>
      <c r="C2" s="6"/>
    </row>
    <row r="3" spans="1:32" x14ac:dyDescent="0.25">
      <c r="A3" s="6" t="s">
        <v>1070</v>
      </c>
      <c r="B3" s="6"/>
      <c r="C3" s="6"/>
    </row>
    <row r="4" spans="1:32" x14ac:dyDescent="0.25">
      <c r="A4" s="6" t="s">
        <v>1131</v>
      </c>
      <c r="B4" s="6"/>
      <c r="C4" s="6"/>
    </row>
    <row r="5" spans="1:32" x14ac:dyDescent="0.25">
      <c r="A5" s="6" t="s">
        <v>1132</v>
      </c>
      <c r="B5" s="6"/>
      <c r="C5" s="6"/>
    </row>
    <row r="6" spans="1:32" x14ac:dyDescent="0.25">
      <c r="A6" s="6" t="s">
        <v>1071</v>
      </c>
      <c r="B6" s="6"/>
      <c r="C6" s="6"/>
    </row>
    <row r="7" spans="1:32" x14ac:dyDescent="0.25">
      <c r="A7" s="6" t="s">
        <v>1072</v>
      </c>
      <c r="B7" s="6"/>
      <c r="C7" s="6"/>
    </row>
    <row r="8" spans="1:32" x14ac:dyDescent="0.25">
      <c r="A8" s="6" t="s">
        <v>1073</v>
      </c>
      <c r="B8" s="6"/>
      <c r="C8" s="6"/>
    </row>
    <row r="9" spans="1:32" x14ac:dyDescent="0.25">
      <c r="A9" s="6"/>
      <c r="B9" s="6"/>
      <c r="C9" s="6"/>
    </row>
    <row r="11" spans="1:32" s="9" customFormat="1" ht="21" x14ac:dyDescent="0.35">
      <c r="A11" s="76"/>
      <c r="B11" s="76"/>
      <c r="C11" s="165" t="s">
        <v>1065</v>
      </c>
      <c r="D11" s="166"/>
      <c r="E11" s="167"/>
      <c r="F11" s="165" t="s">
        <v>1062</v>
      </c>
      <c r="G11" s="166"/>
      <c r="H11" s="166"/>
      <c r="I11" s="167"/>
      <c r="J11" s="165" t="s">
        <v>1061</v>
      </c>
      <c r="K11" s="166"/>
      <c r="L11" s="166"/>
      <c r="M11" s="166"/>
      <c r="N11" s="166"/>
      <c r="O11" s="166"/>
      <c r="P11" s="166"/>
      <c r="Q11" s="166"/>
      <c r="R11" s="167"/>
      <c r="S11" s="165" t="s">
        <v>450</v>
      </c>
      <c r="T11" s="166"/>
      <c r="U11" s="166"/>
      <c r="V11" s="167"/>
      <c r="W11" s="165" t="s">
        <v>449</v>
      </c>
      <c r="X11" s="166"/>
      <c r="Y11" s="166"/>
      <c r="Z11" s="166"/>
      <c r="AA11" s="166"/>
      <c r="AB11" s="166"/>
      <c r="AC11" s="166"/>
      <c r="AD11" s="166"/>
      <c r="AE11" s="166"/>
      <c r="AF11" s="167"/>
    </row>
    <row r="12" spans="1:32" s="7" customFormat="1" ht="38.25" customHeight="1" x14ac:dyDescent="0.25">
      <c r="A12" s="19" t="s">
        <v>0</v>
      </c>
      <c r="B12" s="20" t="s">
        <v>1</v>
      </c>
      <c r="C12" s="10" t="s">
        <v>2</v>
      </c>
      <c r="D12" s="11" t="s">
        <v>4</v>
      </c>
      <c r="E12" s="12" t="s">
        <v>3</v>
      </c>
      <c r="F12" s="13" t="s">
        <v>1063</v>
      </c>
      <c r="G12" s="14" t="s">
        <v>451</v>
      </c>
      <c r="H12" s="14" t="s">
        <v>452</v>
      </c>
      <c r="I12" s="15" t="s">
        <v>1064</v>
      </c>
      <c r="J12" s="10" t="s">
        <v>5</v>
      </c>
      <c r="K12" s="11" t="s">
        <v>6</v>
      </c>
      <c r="L12" s="11" t="s">
        <v>7</v>
      </c>
      <c r="M12" s="11" t="s">
        <v>8</v>
      </c>
      <c r="N12" s="11" t="s">
        <v>9</v>
      </c>
      <c r="O12" s="11" t="s">
        <v>11</v>
      </c>
      <c r="P12" s="11" t="s">
        <v>10</v>
      </c>
      <c r="Q12" s="11" t="s">
        <v>12</v>
      </c>
      <c r="R12" s="12" t="s">
        <v>13</v>
      </c>
      <c r="S12" s="13" t="s">
        <v>451</v>
      </c>
      <c r="T12" s="14" t="s">
        <v>453</v>
      </c>
      <c r="U12" s="14" t="s">
        <v>454</v>
      </c>
      <c r="V12" s="15" t="s">
        <v>455</v>
      </c>
      <c r="W12" s="16" t="s">
        <v>59</v>
      </c>
      <c r="X12" s="17" t="s">
        <v>60</v>
      </c>
      <c r="Y12" s="17" t="s">
        <v>61</v>
      </c>
      <c r="Z12" s="17" t="s">
        <v>62</v>
      </c>
      <c r="AA12" s="17" t="s">
        <v>63</v>
      </c>
      <c r="AB12" s="17" t="s">
        <v>64</v>
      </c>
      <c r="AC12" s="17" t="s">
        <v>65</v>
      </c>
      <c r="AD12" s="17" t="s">
        <v>66</v>
      </c>
      <c r="AE12" s="17" t="s">
        <v>67</v>
      </c>
      <c r="AF12" s="18" t="s">
        <v>68</v>
      </c>
    </row>
    <row r="13" spans="1:32" s="21" customFormat="1" x14ac:dyDescent="0.25">
      <c r="A13" s="41">
        <v>20094785</v>
      </c>
      <c r="B13" s="42"/>
      <c r="C13" s="43" t="s">
        <v>32</v>
      </c>
      <c r="D13" s="44">
        <v>6</v>
      </c>
      <c r="E13" s="45" t="s">
        <v>37</v>
      </c>
      <c r="F13" s="46">
        <f>4000000+4000000+3715498</f>
        <v>11715498</v>
      </c>
      <c r="G13" s="47">
        <f>3511772+3516543+3266994</f>
        <v>10295309</v>
      </c>
      <c r="H13" s="47">
        <f>3109749+3111040+2891667</f>
        <v>9112456</v>
      </c>
      <c r="I13" s="48">
        <v>9112430</v>
      </c>
      <c r="J13" s="46">
        <v>9065334</v>
      </c>
      <c r="K13" s="47">
        <v>1816887</v>
      </c>
      <c r="L13" s="47">
        <v>1900360</v>
      </c>
      <c r="M13" s="47">
        <v>1718502</v>
      </c>
      <c r="N13" s="47">
        <v>955666</v>
      </c>
      <c r="O13" s="47">
        <v>905637</v>
      </c>
      <c r="P13" s="47">
        <v>775936</v>
      </c>
      <c r="Q13" s="47">
        <v>517578</v>
      </c>
      <c r="R13" s="48">
        <v>474768</v>
      </c>
      <c r="S13" s="50">
        <f>(G13/F13)*100</f>
        <v>87.877689877118328</v>
      </c>
      <c r="T13" s="51">
        <f>(H13/G13)*100</f>
        <v>88.510757666428461</v>
      </c>
      <c r="U13" s="51">
        <f t="shared" ref="U13" si="0">(I13/H13)*100</f>
        <v>99.999714676262911</v>
      </c>
      <c r="V13" s="73">
        <f>(I13/F13)*100</f>
        <v>77.780987201739094</v>
      </c>
      <c r="W13" s="53" t="s">
        <v>69</v>
      </c>
      <c r="X13" s="54" t="s">
        <v>70</v>
      </c>
      <c r="Y13" s="54" t="s">
        <v>71</v>
      </c>
      <c r="Z13" s="54" t="s">
        <v>72</v>
      </c>
      <c r="AA13" s="54" t="s">
        <v>73</v>
      </c>
      <c r="AB13" s="54" t="s">
        <v>74</v>
      </c>
      <c r="AC13" s="54" t="s">
        <v>75</v>
      </c>
      <c r="AD13" s="54" t="s">
        <v>76</v>
      </c>
      <c r="AE13" s="54" t="s">
        <v>77</v>
      </c>
      <c r="AF13" s="55" t="s">
        <v>78</v>
      </c>
    </row>
    <row r="14" spans="1:32" s="21" customFormat="1" x14ac:dyDescent="0.25">
      <c r="A14" s="26">
        <v>20095121</v>
      </c>
      <c r="B14" s="27" t="s">
        <v>14</v>
      </c>
      <c r="C14" s="28" t="s">
        <v>36</v>
      </c>
      <c r="D14" s="29">
        <v>8</v>
      </c>
      <c r="E14" s="30" t="s">
        <v>34</v>
      </c>
      <c r="F14" s="31">
        <v>2678360</v>
      </c>
      <c r="G14" s="32">
        <v>414660</v>
      </c>
      <c r="H14" s="32">
        <v>254917</v>
      </c>
      <c r="I14" s="33"/>
      <c r="J14" s="31">
        <v>251497</v>
      </c>
      <c r="K14" s="32">
        <v>15819</v>
      </c>
      <c r="L14" s="32">
        <v>8469</v>
      </c>
      <c r="M14" s="34">
        <v>55313</v>
      </c>
      <c r="N14" s="32">
        <v>25601</v>
      </c>
      <c r="O14" s="32">
        <v>56746</v>
      </c>
      <c r="P14" s="32" t="s">
        <v>19</v>
      </c>
      <c r="Q14" s="32">
        <v>89549</v>
      </c>
      <c r="R14" s="33" t="s">
        <v>19</v>
      </c>
      <c r="S14" s="35">
        <f t="shared" ref="S14:T15" si="1">(G14/F14)*100</f>
        <v>15.481862034976626</v>
      </c>
      <c r="T14" s="36">
        <f t="shared" si="1"/>
        <v>61.476149134230454</v>
      </c>
      <c r="U14" s="36"/>
      <c r="V14" s="71"/>
      <c r="W14" s="38" t="s">
        <v>79</v>
      </c>
      <c r="X14" s="39" t="s">
        <v>80</v>
      </c>
      <c r="Y14" s="39" t="s">
        <v>81</v>
      </c>
      <c r="Z14" s="39" t="s">
        <v>82</v>
      </c>
      <c r="AA14" s="39" t="s">
        <v>83</v>
      </c>
      <c r="AB14" s="39" t="s">
        <v>84</v>
      </c>
      <c r="AC14" s="39" t="s">
        <v>85</v>
      </c>
      <c r="AD14" s="39" t="s">
        <v>86</v>
      </c>
      <c r="AE14" s="39" t="s">
        <v>87</v>
      </c>
      <c r="AF14" s="40" t="s">
        <v>88</v>
      </c>
    </row>
    <row r="15" spans="1:32" s="21" customFormat="1" x14ac:dyDescent="0.25">
      <c r="A15" s="26"/>
      <c r="B15" s="27" t="s">
        <v>17</v>
      </c>
      <c r="C15" s="28"/>
      <c r="D15" s="29">
        <v>8</v>
      </c>
      <c r="E15" s="30" t="s">
        <v>35</v>
      </c>
      <c r="F15" s="31">
        <v>2153700</v>
      </c>
      <c r="G15" s="32">
        <v>418019</v>
      </c>
      <c r="H15" s="32">
        <v>269988</v>
      </c>
      <c r="I15" s="33"/>
      <c r="J15" s="31">
        <v>266146</v>
      </c>
      <c r="K15" s="32">
        <v>46920</v>
      </c>
      <c r="L15" s="32">
        <v>3873</v>
      </c>
      <c r="M15" s="34">
        <v>6999</v>
      </c>
      <c r="N15" s="32">
        <v>76563</v>
      </c>
      <c r="O15" s="32" t="s">
        <v>19</v>
      </c>
      <c r="P15" s="32">
        <v>78464</v>
      </c>
      <c r="Q15" s="32" t="s">
        <v>19</v>
      </c>
      <c r="R15" s="33">
        <v>53327</v>
      </c>
      <c r="S15" s="35">
        <f t="shared" si="1"/>
        <v>19.4093420624971</v>
      </c>
      <c r="T15" s="36">
        <f t="shared" si="1"/>
        <v>64.587494826790177</v>
      </c>
      <c r="U15" s="36"/>
      <c r="V15" s="71"/>
      <c r="W15" s="38"/>
      <c r="X15" s="39"/>
      <c r="Y15" s="39"/>
      <c r="Z15" s="39"/>
      <c r="AA15" s="39"/>
      <c r="AB15" s="39"/>
      <c r="AC15" s="39"/>
      <c r="AD15" s="39"/>
      <c r="AE15" s="39"/>
      <c r="AF15" s="40"/>
    </row>
    <row r="16" spans="1:32" s="21" customFormat="1" x14ac:dyDescent="0.25">
      <c r="A16" s="26"/>
      <c r="B16" s="27" t="s">
        <v>29</v>
      </c>
      <c r="C16" s="28"/>
      <c r="D16" s="29"/>
      <c r="E16" s="30"/>
      <c r="F16" s="31"/>
      <c r="G16" s="32"/>
      <c r="H16" s="32">
        <v>524905</v>
      </c>
      <c r="I16" s="33">
        <v>520399</v>
      </c>
      <c r="J16" s="31">
        <v>517635</v>
      </c>
      <c r="K16" s="32">
        <v>62739</v>
      </c>
      <c r="L16" s="32">
        <v>12342</v>
      </c>
      <c r="M16" s="34">
        <v>62312</v>
      </c>
      <c r="N16" s="32">
        <v>102162</v>
      </c>
      <c r="O16" s="32">
        <v>56746</v>
      </c>
      <c r="P16" s="32">
        <v>78458</v>
      </c>
      <c r="Q16" s="32">
        <v>89549</v>
      </c>
      <c r="R16" s="33">
        <v>53327</v>
      </c>
      <c r="S16" s="35"/>
      <c r="T16" s="36"/>
      <c r="U16" s="36">
        <f t="shared" ref="U16" si="2">(I16/H16)*100</f>
        <v>99.141558948762153</v>
      </c>
      <c r="V16" s="71">
        <f>(I16/(F14+F15))*100</f>
        <v>10.769713124423124</v>
      </c>
      <c r="W16" s="38"/>
      <c r="X16" s="39"/>
      <c r="Y16" s="39"/>
      <c r="Z16" s="39"/>
      <c r="AA16" s="39"/>
      <c r="AB16" s="39"/>
      <c r="AC16" s="39"/>
      <c r="AD16" s="39"/>
      <c r="AE16" s="39"/>
      <c r="AF16" s="40"/>
    </row>
    <row r="17" spans="1:32" s="21" customFormat="1" x14ac:dyDescent="0.25">
      <c r="A17" s="41">
        <v>20095267</v>
      </c>
      <c r="B17" s="42" t="s">
        <v>14</v>
      </c>
      <c r="C17" s="43" t="s">
        <v>36</v>
      </c>
      <c r="D17" s="44">
        <v>6</v>
      </c>
      <c r="E17" s="45" t="s">
        <v>34</v>
      </c>
      <c r="F17" s="46">
        <v>2348088</v>
      </c>
      <c r="G17" s="47">
        <v>247870</v>
      </c>
      <c r="H17" s="47">
        <v>152119</v>
      </c>
      <c r="I17" s="48"/>
      <c r="J17" s="46">
        <v>149171</v>
      </c>
      <c r="K17" s="47">
        <v>5531</v>
      </c>
      <c r="L17" s="47">
        <v>3811</v>
      </c>
      <c r="M17" s="49">
        <v>39146</v>
      </c>
      <c r="N17" s="47">
        <v>27505</v>
      </c>
      <c r="O17" s="47">
        <v>22576</v>
      </c>
      <c r="P17" s="47" t="s">
        <v>19</v>
      </c>
      <c r="Q17" s="47">
        <v>50602</v>
      </c>
      <c r="R17" s="48" t="s">
        <v>19</v>
      </c>
      <c r="S17" s="50">
        <f>(G17/F17)*100</f>
        <v>10.556248317780254</v>
      </c>
      <c r="T17" s="51">
        <f>(H17/G17)*100</f>
        <v>61.370476459434379</v>
      </c>
      <c r="U17" s="51"/>
      <c r="V17" s="73"/>
      <c r="W17" s="53" t="s">
        <v>99</v>
      </c>
      <c r="X17" s="54" t="s">
        <v>100</v>
      </c>
      <c r="Y17" s="54" t="s">
        <v>101</v>
      </c>
      <c r="Z17" s="54" t="s">
        <v>102</v>
      </c>
      <c r="AA17" s="54" t="s">
        <v>103</v>
      </c>
      <c r="AB17" s="54" t="s">
        <v>104</v>
      </c>
      <c r="AC17" s="54" t="s">
        <v>105</v>
      </c>
      <c r="AD17" s="54" t="s">
        <v>106</v>
      </c>
      <c r="AE17" s="54" t="s">
        <v>107</v>
      </c>
      <c r="AF17" s="55" t="s">
        <v>108</v>
      </c>
    </row>
    <row r="18" spans="1:32" s="21" customFormat="1" x14ac:dyDescent="0.25">
      <c r="A18" s="41"/>
      <c r="B18" s="42" t="s">
        <v>17</v>
      </c>
      <c r="C18" s="43"/>
      <c r="D18" s="44">
        <v>6</v>
      </c>
      <c r="E18" s="45" t="s">
        <v>35</v>
      </c>
      <c r="F18" s="46">
        <v>2572346</v>
      </c>
      <c r="G18" s="47">
        <v>429355</v>
      </c>
      <c r="H18" s="47">
        <v>294439</v>
      </c>
      <c r="I18" s="48"/>
      <c r="J18" s="46">
        <v>289416</v>
      </c>
      <c r="K18" s="47">
        <v>33615</v>
      </c>
      <c r="L18" s="47">
        <v>8329</v>
      </c>
      <c r="M18" s="49">
        <v>18834</v>
      </c>
      <c r="N18" s="47">
        <v>84310</v>
      </c>
      <c r="O18" s="47" t="s">
        <v>19</v>
      </c>
      <c r="P18" s="47">
        <v>94014</v>
      </c>
      <c r="Q18" s="47" t="s">
        <v>19</v>
      </c>
      <c r="R18" s="48">
        <v>50314</v>
      </c>
      <c r="S18" s="50">
        <f>(G18/F18)*100</f>
        <v>16.691183845408045</v>
      </c>
      <c r="T18" s="51">
        <f>(H18/G18)*100</f>
        <v>68.577051623947554</v>
      </c>
      <c r="U18" s="51"/>
      <c r="V18" s="73"/>
      <c r="W18" s="53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s="21" customFormat="1" x14ac:dyDescent="0.25">
      <c r="A19" s="41"/>
      <c r="B19" s="42" t="s">
        <v>29</v>
      </c>
      <c r="C19" s="43"/>
      <c r="D19" s="44"/>
      <c r="E19" s="45"/>
      <c r="F19" s="46"/>
      <c r="G19" s="47"/>
      <c r="H19" s="47">
        <v>446558</v>
      </c>
      <c r="I19" s="48">
        <v>441209</v>
      </c>
      <c r="J19" s="46">
        <v>438579</v>
      </c>
      <c r="K19" s="47">
        <v>39145</v>
      </c>
      <c r="L19" s="47">
        <v>12140</v>
      </c>
      <c r="M19" s="49">
        <v>57980</v>
      </c>
      <c r="N19" s="47">
        <v>111810</v>
      </c>
      <c r="O19" s="47">
        <v>22576</v>
      </c>
      <c r="P19" s="47">
        <v>94012</v>
      </c>
      <c r="Q19" s="47">
        <v>50602</v>
      </c>
      <c r="R19" s="48">
        <v>50314</v>
      </c>
      <c r="S19" s="50"/>
      <c r="T19" s="51"/>
      <c r="U19" s="51">
        <f t="shared" ref="U19" si="3">(I19/H19)*100</f>
        <v>98.80217127450409</v>
      </c>
      <c r="V19" s="73">
        <f>(I19/(F17+F18))*100</f>
        <v>8.9668716214870479</v>
      </c>
      <c r="W19" s="53"/>
      <c r="X19" s="54"/>
      <c r="Y19" s="54"/>
      <c r="Z19" s="54"/>
      <c r="AA19" s="54"/>
      <c r="AB19" s="54"/>
      <c r="AC19" s="54"/>
      <c r="AD19" s="54"/>
      <c r="AE19" s="54"/>
      <c r="AF19" s="55"/>
    </row>
    <row r="20" spans="1:32" s="21" customFormat="1" x14ac:dyDescent="0.25">
      <c r="A20" s="26">
        <v>20095236</v>
      </c>
      <c r="B20" s="27" t="s">
        <v>14</v>
      </c>
      <c r="C20" s="28" t="s">
        <v>36</v>
      </c>
      <c r="D20" s="29">
        <v>7</v>
      </c>
      <c r="E20" s="30" t="s">
        <v>34</v>
      </c>
      <c r="F20" s="31">
        <v>2038799</v>
      </c>
      <c r="G20" s="32">
        <v>69334</v>
      </c>
      <c r="H20" s="32">
        <v>43555</v>
      </c>
      <c r="I20" s="33"/>
      <c r="J20" s="31">
        <v>40491</v>
      </c>
      <c r="K20" s="32">
        <v>9335</v>
      </c>
      <c r="L20" s="32">
        <v>6967</v>
      </c>
      <c r="M20" s="34">
        <v>7014</v>
      </c>
      <c r="N20" s="32">
        <v>3820</v>
      </c>
      <c r="O20" s="32">
        <v>8184</v>
      </c>
      <c r="P20" s="32" t="s">
        <v>19</v>
      </c>
      <c r="Q20" s="32">
        <v>5171</v>
      </c>
      <c r="R20" s="33" t="s">
        <v>19</v>
      </c>
      <c r="S20" s="35">
        <f>(G20/F20)*100</f>
        <v>3.4007275852107046</v>
      </c>
      <c r="T20" s="36">
        <f>(H20/G20)*100</f>
        <v>62.819107508581652</v>
      </c>
      <c r="U20" s="36"/>
      <c r="V20" s="71"/>
      <c r="W20" s="38" t="s">
        <v>89</v>
      </c>
      <c r="X20" s="39" t="s">
        <v>90</v>
      </c>
      <c r="Y20" s="39" t="s">
        <v>91</v>
      </c>
      <c r="Z20" s="39" t="s">
        <v>92</v>
      </c>
      <c r="AA20" s="39" t="s">
        <v>93</v>
      </c>
      <c r="AB20" s="39" t="s">
        <v>94</v>
      </c>
      <c r="AC20" s="39" t="s">
        <v>95</v>
      </c>
      <c r="AD20" s="39" t="s">
        <v>96</v>
      </c>
      <c r="AE20" s="39" t="s">
        <v>97</v>
      </c>
      <c r="AF20" s="40" t="s">
        <v>98</v>
      </c>
    </row>
    <row r="21" spans="1:32" s="21" customFormat="1" x14ac:dyDescent="0.25">
      <c r="A21" s="26"/>
      <c r="B21" s="27" t="s">
        <v>17</v>
      </c>
      <c r="C21" s="28"/>
      <c r="D21" s="29">
        <v>7</v>
      </c>
      <c r="E21" s="30" t="s">
        <v>35</v>
      </c>
      <c r="F21" s="31">
        <v>2113647</v>
      </c>
      <c r="G21" s="32">
        <v>905402</v>
      </c>
      <c r="H21" s="32">
        <v>564506</v>
      </c>
      <c r="I21" s="33"/>
      <c r="J21" s="31">
        <v>562400</v>
      </c>
      <c r="K21" s="32">
        <v>115732</v>
      </c>
      <c r="L21" s="32">
        <v>40062</v>
      </c>
      <c r="M21" s="34">
        <v>63104</v>
      </c>
      <c r="N21" s="32">
        <v>151148</v>
      </c>
      <c r="O21" s="32" t="s">
        <v>19</v>
      </c>
      <c r="P21" s="32">
        <v>128571</v>
      </c>
      <c r="Q21" s="32" t="s">
        <v>19</v>
      </c>
      <c r="R21" s="33">
        <v>63783</v>
      </c>
      <c r="S21" s="35">
        <f>(G21/F21)*100</f>
        <v>42.836008094066798</v>
      </c>
      <c r="T21" s="36">
        <f>(H21/G21)*100</f>
        <v>62.348658385998704</v>
      </c>
      <c r="U21" s="36"/>
      <c r="V21" s="71"/>
      <c r="W21" s="38"/>
      <c r="X21" s="39"/>
      <c r="Y21" s="39"/>
      <c r="Z21" s="39"/>
      <c r="AA21" s="39"/>
      <c r="AB21" s="39"/>
      <c r="AC21" s="39"/>
      <c r="AD21" s="39"/>
      <c r="AE21" s="39"/>
      <c r="AF21" s="40"/>
    </row>
    <row r="22" spans="1:32" s="21" customFormat="1" x14ac:dyDescent="0.25">
      <c r="A22" s="26"/>
      <c r="B22" s="27" t="s">
        <v>29</v>
      </c>
      <c r="C22" s="28"/>
      <c r="D22" s="29"/>
      <c r="E22" s="30"/>
      <c r="F22" s="31"/>
      <c r="G22" s="32"/>
      <c r="H22" s="32">
        <v>608061</v>
      </c>
      <c r="I22" s="33">
        <v>603806</v>
      </c>
      <c r="J22" s="31">
        <v>602883</v>
      </c>
      <c r="K22" s="32">
        <v>125066</v>
      </c>
      <c r="L22" s="32">
        <v>47029</v>
      </c>
      <c r="M22" s="34">
        <v>70118</v>
      </c>
      <c r="N22" s="32">
        <v>154964</v>
      </c>
      <c r="O22" s="32">
        <v>8184</v>
      </c>
      <c r="P22" s="32">
        <v>128568</v>
      </c>
      <c r="Q22" s="32">
        <v>5171</v>
      </c>
      <c r="R22" s="33">
        <v>63783</v>
      </c>
      <c r="S22" s="35"/>
      <c r="T22" s="36"/>
      <c r="U22" s="36">
        <f t="shared" ref="U22:U23" si="4">(I22/H22)*100</f>
        <v>99.300234680402127</v>
      </c>
      <c r="V22" s="71">
        <f>(I22/(F20+F21))*100</f>
        <v>14.540971754960811</v>
      </c>
      <c r="W22" s="38"/>
      <c r="X22" s="39"/>
      <c r="Y22" s="39"/>
      <c r="Z22" s="39"/>
      <c r="AA22" s="39"/>
      <c r="AB22" s="39"/>
      <c r="AC22" s="39"/>
      <c r="AD22" s="39"/>
      <c r="AE22" s="39"/>
      <c r="AF22" s="40"/>
    </row>
    <row r="23" spans="1:32" s="21" customFormat="1" x14ac:dyDescent="0.25">
      <c r="A23" s="41">
        <v>20095383</v>
      </c>
      <c r="B23" s="42"/>
      <c r="C23" s="43" t="s">
        <v>32</v>
      </c>
      <c r="D23" s="44">
        <v>5</v>
      </c>
      <c r="E23" s="45" t="s">
        <v>38</v>
      </c>
      <c r="F23" s="46">
        <f>4000000+4000000+537477</f>
        <v>8537477</v>
      </c>
      <c r="G23" s="47">
        <f>3226386+3244907+426129</f>
        <v>6897422</v>
      </c>
      <c r="H23" s="47">
        <f>2660870+2673697+351273</f>
        <v>5685840</v>
      </c>
      <c r="I23" s="48">
        <v>5685817</v>
      </c>
      <c r="J23" s="46">
        <v>5649973</v>
      </c>
      <c r="K23" s="47">
        <v>1118397</v>
      </c>
      <c r="L23" s="47">
        <v>895797</v>
      </c>
      <c r="M23" s="49">
        <v>961108</v>
      </c>
      <c r="N23" s="47">
        <v>1071337</v>
      </c>
      <c r="O23" s="47">
        <v>219696</v>
      </c>
      <c r="P23" s="47">
        <v>502899</v>
      </c>
      <c r="Q23" s="47">
        <v>463098</v>
      </c>
      <c r="R23" s="48">
        <v>417641</v>
      </c>
      <c r="S23" s="50">
        <f t="shared" ref="S23:T25" si="5">(G23/F23)*100</f>
        <v>80.789933606848948</v>
      </c>
      <c r="T23" s="51">
        <f t="shared" si="5"/>
        <v>82.434277618507323</v>
      </c>
      <c r="U23" s="51">
        <f t="shared" si="4"/>
        <v>99.999595486330946</v>
      </c>
      <c r="V23" s="73">
        <f>(I23/F23)*100</f>
        <v>66.598328756844666</v>
      </c>
      <c r="W23" s="53" t="s">
        <v>109</v>
      </c>
      <c r="X23" s="54" t="s">
        <v>110</v>
      </c>
      <c r="Y23" s="54" t="s">
        <v>111</v>
      </c>
      <c r="Z23" s="54" t="s">
        <v>112</v>
      </c>
      <c r="AA23" s="54" t="s">
        <v>113</v>
      </c>
      <c r="AB23" s="54" t="s">
        <v>114</v>
      </c>
      <c r="AC23" s="54" t="s">
        <v>115</v>
      </c>
      <c r="AD23" s="54" t="s">
        <v>116</v>
      </c>
      <c r="AE23" s="54" t="s">
        <v>117</v>
      </c>
      <c r="AF23" s="55" t="s">
        <v>118</v>
      </c>
    </row>
    <row r="24" spans="1:32" s="21" customFormat="1" x14ac:dyDescent="0.25">
      <c r="A24" s="26">
        <v>20095452</v>
      </c>
      <c r="B24" s="27" t="s">
        <v>14</v>
      </c>
      <c r="C24" s="28" t="s">
        <v>36</v>
      </c>
      <c r="D24" s="29">
        <v>3</v>
      </c>
      <c r="E24" s="30" t="s">
        <v>34</v>
      </c>
      <c r="F24" s="31">
        <v>2026225</v>
      </c>
      <c r="G24" s="32">
        <v>374260</v>
      </c>
      <c r="H24" s="32">
        <v>241356</v>
      </c>
      <c r="I24" s="33"/>
      <c r="J24" s="31">
        <v>239485</v>
      </c>
      <c r="K24" s="32">
        <v>34055</v>
      </c>
      <c r="L24" s="32">
        <v>57077</v>
      </c>
      <c r="M24" s="34">
        <v>33611</v>
      </c>
      <c r="N24" s="32">
        <v>34675</v>
      </c>
      <c r="O24" s="32">
        <v>43763</v>
      </c>
      <c r="P24" s="32" t="s">
        <v>19</v>
      </c>
      <c r="Q24" s="32">
        <v>36304</v>
      </c>
      <c r="R24" s="33" t="s">
        <v>19</v>
      </c>
      <c r="S24" s="35">
        <f t="shared" si="5"/>
        <v>18.470801613838542</v>
      </c>
      <c r="T24" s="36">
        <f t="shared" si="5"/>
        <v>64.488858013145943</v>
      </c>
      <c r="U24" s="36"/>
      <c r="V24" s="71"/>
      <c r="W24" s="38" t="s">
        <v>119</v>
      </c>
      <c r="X24" s="39" t="s">
        <v>120</v>
      </c>
      <c r="Y24" s="39" t="s">
        <v>121</v>
      </c>
      <c r="Z24" s="39" t="s">
        <v>122</v>
      </c>
      <c r="AA24" s="39" t="s">
        <v>123</v>
      </c>
      <c r="AB24" s="39" t="s">
        <v>124</v>
      </c>
      <c r="AC24" s="39" t="s">
        <v>125</v>
      </c>
      <c r="AD24" s="39" t="s">
        <v>126</v>
      </c>
      <c r="AE24" s="39" t="s">
        <v>127</v>
      </c>
      <c r="AF24" s="40" t="s">
        <v>128</v>
      </c>
    </row>
    <row r="25" spans="1:32" s="21" customFormat="1" x14ac:dyDescent="0.25">
      <c r="A25" s="26"/>
      <c r="B25" s="27" t="s">
        <v>17</v>
      </c>
      <c r="C25" s="28"/>
      <c r="D25" s="29">
        <v>3</v>
      </c>
      <c r="E25" s="30" t="s">
        <v>35</v>
      </c>
      <c r="F25" s="31">
        <v>2296617</v>
      </c>
      <c r="G25" s="32">
        <v>63540</v>
      </c>
      <c r="H25" s="32">
        <v>40435</v>
      </c>
      <c r="I25" s="33"/>
      <c r="J25" s="31">
        <v>38126</v>
      </c>
      <c r="K25" s="32">
        <v>7795</v>
      </c>
      <c r="L25" s="32">
        <v>5130</v>
      </c>
      <c r="M25" s="34">
        <v>4926</v>
      </c>
      <c r="N25" s="32">
        <v>8267</v>
      </c>
      <c r="O25" s="32" t="s">
        <v>19</v>
      </c>
      <c r="P25" s="32">
        <v>8029</v>
      </c>
      <c r="Q25" s="32" t="s">
        <v>19</v>
      </c>
      <c r="R25" s="72">
        <v>3979</v>
      </c>
      <c r="S25" s="35">
        <f t="shared" si="5"/>
        <v>2.7666781182931239</v>
      </c>
      <c r="T25" s="36">
        <f t="shared" si="5"/>
        <v>63.637079005350962</v>
      </c>
      <c r="U25" s="36"/>
      <c r="V25" s="71"/>
      <c r="W25" s="38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s="21" customFormat="1" x14ac:dyDescent="0.25">
      <c r="A26" s="26"/>
      <c r="B26" s="27" t="s">
        <v>29</v>
      </c>
      <c r="C26" s="28"/>
      <c r="D26" s="29"/>
      <c r="E26" s="30"/>
      <c r="F26" s="31"/>
      <c r="G26" s="32"/>
      <c r="H26" s="32">
        <v>281791</v>
      </c>
      <c r="I26" s="33">
        <v>278445</v>
      </c>
      <c r="J26" s="31">
        <v>277610</v>
      </c>
      <c r="K26" s="32">
        <v>41849</v>
      </c>
      <c r="L26" s="32">
        <v>62207</v>
      </c>
      <c r="M26" s="34">
        <v>38537</v>
      </c>
      <c r="N26" s="32">
        <v>42942</v>
      </c>
      <c r="O26" s="32">
        <v>43763</v>
      </c>
      <c r="P26" s="32">
        <v>8029</v>
      </c>
      <c r="Q26" s="32">
        <v>36304</v>
      </c>
      <c r="R26" s="72">
        <v>3979</v>
      </c>
      <c r="S26" s="35"/>
      <c r="T26" s="36"/>
      <c r="U26" s="36">
        <f t="shared" ref="U26" si="6">(I26/H26)*100</f>
        <v>98.812595150306436</v>
      </c>
      <c r="V26" s="71">
        <f>(I26/(F24+F25))*100</f>
        <v>6.4412486045060167</v>
      </c>
      <c r="W26" s="38"/>
      <c r="X26" s="39"/>
      <c r="Y26" s="39"/>
      <c r="Z26" s="39"/>
      <c r="AA26" s="39"/>
      <c r="AB26" s="39"/>
      <c r="AC26" s="39"/>
      <c r="AD26" s="39"/>
      <c r="AE26" s="39"/>
      <c r="AF26" s="40"/>
    </row>
    <row r="27" spans="1:32" s="21" customFormat="1" x14ac:dyDescent="0.25">
      <c r="A27" s="41">
        <v>20095510</v>
      </c>
      <c r="B27" s="42" t="s">
        <v>14</v>
      </c>
      <c r="C27" s="43" t="s">
        <v>36</v>
      </c>
      <c r="D27" s="44">
        <v>1</v>
      </c>
      <c r="E27" s="45" t="s">
        <v>34</v>
      </c>
      <c r="F27" s="46">
        <v>1903406</v>
      </c>
      <c r="G27" s="47">
        <v>175663</v>
      </c>
      <c r="H27" s="47">
        <v>112014</v>
      </c>
      <c r="I27" s="48"/>
      <c r="J27" s="46">
        <v>110182</v>
      </c>
      <c r="K27" s="47">
        <v>24297</v>
      </c>
      <c r="L27" s="47">
        <v>3129</v>
      </c>
      <c r="M27" s="49">
        <v>24088</v>
      </c>
      <c r="N27" s="47">
        <v>11625</v>
      </c>
      <c r="O27" s="47">
        <v>29219</v>
      </c>
      <c r="P27" s="47" t="s">
        <v>19</v>
      </c>
      <c r="Q27" s="47">
        <v>17824</v>
      </c>
      <c r="R27" s="74" t="s">
        <v>19</v>
      </c>
      <c r="S27" s="50">
        <f>(G27/F27)*100</f>
        <v>9.2288770761466541</v>
      </c>
      <c r="T27" s="51">
        <f>(H27/G27)*100</f>
        <v>63.766416376812415</v>
      </c>
      <c r="U27" s="51"/>
      <c r="V27" s="73"/>
      <c r="W27" s="53" t="s">
        <v>149</v>
      </c>
      <c r="X27" s="54" t="s">
        <v>150</v>
      </c>
      <c r="Y27" s="54" t="s">
        <v>151</v>
      </c>
      <c r="Z27" s="54" t="s">
        <v>152</v>
      </c>
      <c r="AA27" s="54" t="s">
        <v>153</v>
      </c>
      <c r="AB27" s="54" t="s">
        <v>154</v>
      </c>
      <c r="AC27" s="54" t="s">
        <v>155</v>
      </c>
      <c r="AD27" s="54" t="s">
        <v>156</v>
      </c>
      <c r="AE27" s="54" t="s">
        <v>157</v>
      </c>
      <c r="AF27" s="55" t="s">
        <v>158</v>
      </c>
    </row>
    <row r="28" spans="1:32" s="21" customFormat="1" x14ac:dyDescent="0.25">
      <c r="A28" s="41"/>
      <c r="B28" s="42" t="s">
        <v>17</v>
      </c>
      <c r="C28" s="43"/>
      <c r="D28" s="44">
        <v>1</v>
      </c>
      <c r="E28" s="45" t="s">
        <v>35</v>
      </c>
      <c r="F28" s="46">
        <v>2061441</v>
      </c>
      <c r="G28" s="47">
        <v>112180</v>
      </c>
      <c r="H28" s="47">
        <v>71241</v>
      </c>
      <c r="I28" s="48"/>
      <c r="J28" s="46">
        <v>68762</v>
      </c>
      <c r="K28" s="47">
        <v>14890</v>
      </c>
      <c r="L28" s="47">
        <v>7664</v>
      </c>
      <c r="M28" s="49">
        <v>6638</v>
      </c>
      <c r="N28" s="47">
        <v>15431</v>
      </c>
      <c r="O28" s="47" t="s">
        <v>19</v>
      </c>
      <c r="P28" s="47">
        <v>15749</v>
      </c>
      <c r="Q28" s="47" t="s">
        <v>19</v>
      </c>
      <c r="R28" s="48">
        <v>8390</v>
      </c>
      <c r="S28" s="50">
        <f>(G28/F28)*100</f>
        <v>5.4418244325207459</v>
      </c>
      <c r="T28" s="51">
        <f>(H28/G28)*100</f>
        <v>63.505972544125513</v>
      </c>
      <c r="U28" s="51"/>
      <c r="V28" s="73"/>
      <c r="W28" s="53"/>
      <c r="X28" s="54"/>
      <c r="Y28" s="54"/>
      <c r="Z28" s="54"/>
      <c r="AA28" s="54"/>
      <c r="AB28" s="54"/>
      <c r="AC28" s="54"/>
      <c r="AD28" s="54"/>
      <c r="AE28" s="54"/>
      <c r="AF28" s="55"/>
    </row>
    <row r="29" spans="1:32" s="21" customFormat="1" x14ac:dyDescent="0.25">
      <c r="A29" s="41"/>
      <c r="B29" s="42" t="s">
        <v>29</v>
      </c>
      <c r="C29" s="43"/>
      <c r="D29" s="44"/>
      <c r="E29" s="45"/>
      <c r="F29" s="46"/>
      <c r="G29" s="47"/>
      <c r="H29" s="47">
        <v>183255</v>
      </c>
      <c r="I29" s="48">
        <v>179704</v>
      </c>
      <c r="J29" s="46">
        <v>178942</v>
      </c>
      <c r="K29" s="47">
        <v>39187</v>
      </c>
      <c r="L29" s="47">
        <v>10793</v>
      </c>
      <c r="M29" s="49">
        <v>30726</v>
      </c>
      <c r="N29" s="47">
        <v>27055</v>
      </c>
      <c r="O29" s="47">
        <v>29219</v>
      </c>
      <c r="P29" s="47">
        <v>15748</v>
      </c>
      <c r="Q29" s="47">
        <v>17824</v>
      </c>
      <c r="R29" s="48">
        <v>8390</v>
      </c>
      <c r="S29" s="50"/>
      <c r="T29" s="51"/>
      <c r="U29" s="51">
        <f t="shared" ref="U29:U31" si="7">(I29/H29)*100</f>
        <v>98.062262966904044</v>
      </c>
      <c r="V29" s="73">
        <f>(I29/(F27+F28))*100</f>
        <v>4.5324321468142399</v>
      </c>
      <c r="W29" s="53"/>
      <c r="X29" s="54"/>
      <c r="Y29" s="54"/>
      <c r="Z29" s="54"/>
      <c r="AA29" s="54"/>
      <c r="AB29" s="54"/>
      <c r="AC29" s="54"/>
      <c r="AD29" s="54"/>
      <c r="AE29" s="54"/>
      <c r="AF29" s="55"/>
    </row>
    <row r="30" spans="1:32" s="21" customFormat="1" x14ac:dyDescent="0.25">
      <c r="A30" s="26">
        <v>20095501</v>
      </c>
      <c r="B30" s="27"/>
      <c r="C30" s="28" t="s">
        <v>32</v>
      </c>
      <c r="D30" s="29">
        <v>6</v>
      </c>
      <c r="E30" s="30" t="s">
        <v>39</v>
      </c>
      <c r="F30" s="31">
        <f>4000000+4000000+1157876</f>
        <v>9157876</v>
      </c>
      <c r="G30" s="32">
        <f>3480560+3492304+998636</f>
        <v>7971500</v>
      </c>
      <c r="H30" s="32">
        <f>2973594+2980686+853641</f>
        <v>6807921</v>
      </c>
      <c r="I30" s="33">
        <v>6807903</v>
      </c>
      <c r="J30" s="31">
        <v>6772534</v>
      </c>
      <c r="K30" s="32">
        <v>163321</v>
      </c>
      <c r="L30" s="32">
        <v>246738</v>
      </c>
      <c r="M30" s="34">
        <v>707302</v>
      </c>
      <c r="N30" s="32">
        <v>1923414</v>
      </c>
      <c r="O30" s="32">
        <v>1304387</v>
      </c>
      <c r="P30" s="32">
        <v>983483</v>
      </c>
      <c r="Q30" s="32">
        <v>621614</v>
      </c>
      <c r="R30" s="33">
        <v>822275</v>
      </c>
      <c r="S30" s="35">
        <f t="shared" ref="S30:T33" si="8">(G30/F30)*100</f>
        <v>87.045293035197247</v>
      </c>
      <c r="T30" s="36">
        <f t="shared" si="8"/>
        <v>85.40326161951954</v>
      </c>
      <c r="U30" s="36">
        <f t="shared" si="7"/>
        <v>99.999735602102319</v>
      </c>
      <c r="V30" s="71">
        <f>(I30/F30)*100</f>
        <v>74.33932278620064</v>
      </c>
      <c r="W30" s="38" t="s">
        <v>129</v>
      </c>
      <c r="X30" s="39" t="s">
        <v>130</v>
      </c>
      <c r="Y30" s="39" t="s">
        <v>131</v>
      </c>
      <c r="Z30" s="39" t="s">
        <v>132</v>
      </c>
      <c r="AA30" s="39" t="s">
        <v>133</v>
      </c>
      <c r="AB30" s="39" t="s">
        <v>134</v>
      </c>
      <c r="AC30" s="39" t="s">
        <v>135</v>
      </c>
      <c r="AD30" s="39" t="s">
        <v>136</v>
      </c>
      <c r="AE30" s="39" t="s">
        <v>137</v>
      </c>
      <c r="AF30" s="40" t="s">
        <v>138</v>
      </c>
    </row>
    <row r="31" spans="1:32" s="21" customFormat="1" x14ac:dyDescent="0.25">
      <c r="A31" s="41">
        <v>20095509</v>
      </c>
      <c r="B31" s="42"/>
      <c r="C31" s="43" t="s">
        <v>32</v>
      </c>
      <c r="D31" s="44">
        <v>5</v>
      </c>
      <c r="E31" s="45" t="s">
        <v>37</v>
      </c>
      <c r="F31" s="46">
        <f>4000000+4000000+4000000+2504145</f>
        <v>14504145</v>
      </c>
      <c r="G31" s="47">
        <f>3215892+3211960+3239552+2012137</f>
        <v>11679541</v>
      </c>
      <c r="H31" s="47">
        <f>2749501+2742908+2765635+1720356</f>
        <v>9978400</v>
      </c>
      <c r="I31" s="48">
        <v>9978392</v>
      </c>
      <c r="J31" s="46">
        <v>9964758</v>
      </c>
      <c r="K31" s="47">
        <v>1663967</v>
      </c>
      <c r="L31" s="47">
        <v>440834</v>
      </c>
      <c r="M31" s="49">
        <v>2425483</v>
      </c>
      <c r="N31" s="47">
        <v>2216560</v>
      </c>
      <c r="O31" s="47">
        <v>972492</v>
      </c>
      <c r="P31" s="47">
        <v>1215136</v>
      </c>
      <c r="Q31" s="47">
        <v>506300</v>
      </c>
      <c r="R31" s="48">
        <v>523986</v>
      </c>
      <c r="S31" s="50">
        <f t="shared" si="8"/>
        <v>80.52553942338551</v>
      </c>
      <c r="T31" s="51">
        <f t="shared" si="8"/>
        <v>85.434864263929555</v>
      </c>
      <c r="U31" s="51">
        <f t="shared" si="7"/>
        <v>99.999919826825945</v>
      </c>
      <c r="V31" s="73">
        <f>(I31/F31)*100</f>
        <v>68.796830147519898</v>
      </c>
      <c r="W31" s="53" t="s">
        <v>139</v>
      </c>
      <c r="X31" s="54" t="s">
        <v>140</v>
      </c>
      <c r="Y31" s="54" t="s">
        <v>141</v>
      </c>
      <c r="Z31" s="54" t="s">
        <v>142</v>
      </c>
      <c r="AA31" s="54" t="s">
        <v>143</v>
      </c>
      <c r="AB31" s="54" t="s">
        <v>144</v>
      </c>
      <c r="AC31" s="54" t="s">
        <v>145</v>
      </c>
      <c r="AD31" s="54" t="s">
        <v>146</v>
      </c>
      <c r="AE31" s="54" t="s">
        <v>147</v>
      </c>
      <c r="AF31" s="55" t="s">
        <v>148</v>
      </c>
    </row>
    <row r="32" spans="1:32" s="21" customFormat="1" x14ac:dyDescent="0.25">
      <c r="A32" s="26">
        <v>20096069</v>
      </c>
      <c r="B32" s="27" t="s">
        <v>14</v>
      </c>
      <c r="C32" s="28" t="s">
        <v>36</v>
      </c>
      <c r="D32" s="29">
        <v>8</v>
      </c>
      <c r="E32" s="30" t="s">
        <v>21</v>
      </c>
      <c r="F32" s="31">
        <v>2474842</v>
      </c>
      <c r="G32" s="32">
        <v>128884</v>
      </c>
      <c r="H32" s="32">
        <v>82676</v>
      </c>
      <c r="I32" s="33"/>
      <c r="J32" s="31">
        <v>77529</v>
      </c>
      <c r="K32" s="32">
        <v>17719</v>
      </c>
      <c r="L32" s="32">
        <v>15119</v>
      </c>
      <c r="M32" s="34">
        <v>10466</v>
      </c>
      <c r="N32" s="32">
        <v>10740</v>
      </c>
      <c r="O32" s="32">
        <v>13671</v>
      </c>
      <c r="P32" s="32" t="s">
        <v>19</v>
      </c>
      <c r="Q32" s="32">
        <v>9813</v>
      </c>
      <c r="R32" s="33" t="s">
        <v>19</v>
      </c>
      <c r="S32" s="35">
        <f t="shared" si="8"/>
        <v>5.207766798850189</v>
      </c>
      <c r="T32" s="36">
        <f t="shared" si="8"/>
        <v>64.147605598833053</v>
      </c>
      <c r="U32" s="36"/>
      <c r="V32" s="71"/>
      <c r="W32" s="38" t="s">
        <v>159</v>
      </c>
      <c r="X32" s="39" t="s">
        <v>160</v>
      </c>
      <c r="Y32" s="39" t="s">
        <v>161</v>
      </c>
      <c r="Z32" s="39" t="s">
        <v>162</v>
      </c>
      <c r="AA32" s="39" t="s">
        <v>163</v>
      </c>
      <c r="AB32" s="39" t="s">
        <v>164</v>
      </c>
      <c r="AC32" s="39" t="s">
        <v>165</v>
      </c>
      <c r="AD32" s="39" t="s">
        <v>166</v>
      </c>
      <c r="AE32" s="39" t="s">
        <v>167</v>
      </c>
      <c r="AF32" s="40" t="s">
        <v>168</v>
      </c>
    </row>
    <row r="33" spans="1:32" s="21" customFormat="1" x14ac:dyDescent="0.25">
      <c r="A33" s="26"/>
      <c r="B33" s="27" t="s">
        <v>17</v>
      </c>
      <c r="C33" s="28"/>
      <c r="D33" s="29">
        <v>8</v>
      </c>
      <c r="E33" s="30" t="s">
        <v>22</v>
      </c>
      <c r="F33" s="31">
        <v>1982975</v>
      </c>
      <c r="G33" s="32">
        <v>432077</v>
      </c>
      <c r="H33" s="32">
        <v>278285</v>
      </c>
      <c r="I33" s="33"/>
      <c r="J33" s="31">
        <v>275129</v>
      </c>
      <c r="K33" s="32">
        <v>59937</v>
      </c>
      <c r="L33" s="32">
        <v>26266</v>
      </c>
      <c r="M33" s="34">
        <v>40026</v>
      </c>
      <c r="N33" s="32">
        <v>59653</v>
      </c>
      <c r="O33" s="32" t="s">
        <v>19</v>
      </c>
      <c r="P33" s="32">
        <v>55821</v>
      </c>
      <c r="Q33" s="32" t="s">
        <v>19</v>
      </c>
      <c r="R33" s="33">
        <v>33426</v>
      </c>
      <c r="S33" s="35">
        <f t="shared" si="8"/>
        <v>21.78933168597688</v>
      </c>
      <c r="T33" s="36">
        <f t="shared" si="8"/>
        <v>64.406344239568412</v>
      </c>
      <c r="U33" s="36"/>
      <c r="V33" s="71"/>
      <c r="W33" s="38"/>
      <c r="X33" s="39"/>
      <c r="Y33" s="39"/>
      <c r="Z33" s="39"/>
      <c r="AA33" s="39"/>
      <c r="AB33" s="39"/>
      <c r="AC33" s="39"/>
      <c r="AD33" s="39"/>
      <c r="AE33" s="39"/>
      <c r="AF33" s="40"/>
    </row>
    <row r="34" spans="1:32" s="21" customFormat="1" x14ac:dyDescent="0.25">
      <c r="A34" s="26"/>
      <c r="B34" s="27" t="s">
        <v>29</v>
      </c>
      <c r="C34" s="28"/>
      <c r="D34" s="29"/>
      <c r="E34" s="30"/>
      <c r="F34" s="31"/>
      <c r="G34" s="32"/>
      <c r="H34" s="32">
        <v>360961</v>
      </c>
      <c r="I34" s="33">
        <v>356091</v>
      </c>
      <c r="J34" s="31">
        <v>352656</v>
      </c>
      <c r="K34" s="32">
        <v>77656</v>
      </c>
      <c r="L34" s="32">
        <v>41385</v>
      </c>
      <c r="M34" s="34">
        <v>50492</v>
      </c>
      <c r="N34" s="32">
        <v>70392</v>
      </c>
      <c r="O34" s="32">
        <v>13671</v>
      </c>
      <c r="P34" s="32">
        <v>55821</v>
      </c>
      <c r="Q34" s="32">
        <v>9813</v>
      </c>
      <c r="R34" s="33">
        <v>33426</v>
      </c>
      <c r="S34" s="35"/>
      <c r="T34" s="36"/>
      <c r="U34" s="36">
        <f t="shared" ref="U34:U35" si="9">(I34/H34)*100</f>
        <v>98.650823773205417</v>
      </c>
      <c r="V34" s="71">
        <f>(I34/(F32+F33))*100</f>
        <v>7.988012966884912</v>
      </c>
      <c r="W34" s="38"/>
      <c r="X34" s="39"/>
      <c r="Y34" s="39"/>
      <c r="Z34" s="39"/>
      <c r="AA34" s="39"/>
      <c r="AB34" s="39"/>
      <c r="AC34" s="39"/>
      <c r="AD34" s="39"/>
      <c r="AE34" s="39"/>
      <c r="AF34" s="40"/>
    </row>
    <row r="35" spans="1:32" s="21" customFormat="1" x14ac:dyDescent="0.25">
      <c r="A35" s="41">
        <v>20096074</v>
      </c>
      <c r="B35" s="42"/>
      <c r="C35" s="43" t="s">
        <v>32</v>
      </c>
      <c r="D35" s="44">
        <v>5</v>
      </c>
      <c r="E35" s="45" t="s">
        <v>31</v>
      </c>
      <c r="F35" s="46">
        <f>4000000+3518269</f>
        <v>7518269</v>
      </c>
      <c r="G35" s="47">
        <f>3246692+2861911</f>
        <v>6108603</v>
      </c>
      <c r="H35" s="47">
        <f>2874285+2533151</f>
        <v>5407436</v>
      </c>
      <c r="I35" s="48">
        <v>5407432</v>
      </c>
      <c r="J35" s="46">
        <v>5402879</v>
      </c>
      <c r="K35" s="47">
        <v>665154</v>
      </c>
      <c r="L35" s="47">
        <v>1001180</v>
      </c>
      <c r="M35" s="49">
        <v>1032077</v>
      </c>
      <c r="N35" s="47">
        <v>1006537</v>
      </c>
      <c r="O35" s="47">
        <v>617675</v>
      </c>
      <c r="P35" s="47">
        <v>552354</v>
      </c>
      <c r="Q35" s="47">
        <v>251015</v>
      </c>
      <c r="R35" s="48">
        <v>276887</v>
      </c>
      <c r="S35" s="50">
        <f t="shared" ref="S35:T38" si="10">(G35/F35)*100</f>
        <v>81.250125527564919</v>
      </c>
      <c r="T35" s="51">
        <f t="shared" si="10"/>
        <v>88.521647257155195</v>
      </c>
      <c r="U35" s="51">
        <f t="shared" si="9"/>
        <v>99.999926027788405</v>
      </c>
      <c r="V35" s="73">
        <f>(I35/F35)*100</f>
        <v>71.92389631177069</v>
      </c>
      <c r="W35" s="53" t="s">
        <v>169</v>
      </c>
      <c r="X35" s="54" t="s">
        <v>170</v>
      </c>
      <c r="Y35" s="54" t="s">
        <v>171</v>
      </c>
      <c r="Z35" s="54" t="s">
        <v>172</v>
      </c>
      <c r="AA35" s="54" t="s">
        <v>173</v>
      </c>
      <c r="AB35" s="54" t="s">
        <v>174</v>
      </c>
      <c r="AC35" s="54" t="s">
        <v>175</v>
      </c>
      <c r="AD35" s="54" t="s">
        <v>176</v>
      </c>
      <c r="AE35" s="54" t="s">
        <v>177</v>
      </c>
      <c r="AF35" s="55" t="s">
        <v>178</v>
      </c>
    </row>
    <row r="36" spans="1:32" s="21" customFormat="1" x14ac:dyDescent="0.25">
      <c r="A36" s="26">
        <v>20097208</v>
      </c>
      <c r="B36" s="27"/>
      <c r="C36" s="28" t="s">
        <v>32</v>
      </c>
      <c r="D36" s="29">
        <v>6</v>
      </c>
      <c r="E36" s="30" t="s">
        <v>31</v>
      </c>
      <c r="F36" s="31">
        <f>4000000+4000000+1069596</f>
        <v>9069596</v>
      </c>
      <c r="G36" s="32">
        <f>3474364+3481079+918722</f>
        <v>7874165</v>
      </c>
      <c r="H36" s="32">
        <f>2839331+2842947+750856</f>
        <v>6433134</v>
      </c>
      <c r="I36" s="33">
        <v>6433067</v>
      </c>
      <c r="J36" s="31">
        <v>6298833</v>
      </c>
      <c r="K36" s="32">
        <v>170686</v>
      </c>
      <c r="L36" s="32">
        <v>137131</v>
      </c>
      <c r="M36" s="34">
        <v>797706</v>
      </c>
      <c r="N36" s="32">
        <v>1631544</v>
      </c>
      <c r="O36" s="32">
        <v>1172965</v>
      </c>
      <c r="P36" s="32">
        <v>907111</v>
      </c>
      <c r="Q36" s="32">
        <v>851775</v>
      </c>
      <c r="R36" s="33">
        <v>629915</v>
      </c>
      <c r="S36" s="35">
        <f t="shared" si="10"/>
        <v>86.819357775142365</v>
      </c>
      <c r="T36" s="36">
        <f t="shared" si="10"/>
        <v>81.699253190655767</v>
      </c>
      <c r="U36" s="36">
        <f t="shared" ref="U36" si="11">(I36/H36)*100</f>
        <v>99.99895851695301</v>
      </c>
      <c r="V36" s="71">
        <f>(I36/F36)*100</f>
        <v>70.930028195302199</v>
      </c>
      <c r="W36" s="38" t="s">
        <v>179</v>
      </c>
      <c r="X36" s="39" t="s">
        <v>180</v>
      </c>
      <c r="Y36" s="39" t="s">
        <v>181</v>
      </c>
      <c r="Z36" s="39" t="s">
        <v>182</v>
      </c>
      <c r="AA36" s="39" t="s">
        <v>183</v>
      </c>
      <c r="AB36" s="39" t="s">
        <v>184</v>
      </c>
      <c r="AC36" s="39" t="s">
        <v>185</v>
      </c>
      <c r="AD36" s="39" t="s">
        <v>186</v>
      </c>
      <c r="AE36" s="39" t="s">
        <v>187</v>
      </c>
      <c r="AF36" s="40" t="s">
        <v>188</v>
      </c>
    </row>
    <row r="37" spans="1:32" s="21" customFormat="1" x14ac:dyDescent="0.25">
      <c r="A37" s="41">
        <v>20101466</v>
      </c>
      <c r="B37" s="42" t="s">
        <v>14</v>
      </c>
      <c r="C37" s="43" t="s">
        <v>36</v>
      </c>
      <c r="D37" s="44">
        <v>3</v>
      </c>
      <c r="E37" s="45" t="s">
        <v>23</v>
      </c>
      <c r="F37" s="46">
        <v>1725397</v>
      </c>
      <c r="G37" s="47">
        <v>72177</v>
      </c>
      <c r="H37" s="47">
        <v>48242</v>
      </c>
      <c r="I37" s="48"/>
      <c r="J37" s="46">
        <v>46240</v>
      </c>
      <c r="K37" s="47">
        <v>7019</v>
      </c>
      <c r="L37" s="47">
        <v>1956</v>
      </c>
      <c r="M37" s="49">
        <v>10487</v>
      </c>
      <c r="N37" s="47">
        <v>4878</v>
      </c>
      <c r="O37" s="47">
        <v>10839</v>
      </c>
      <c r="P37" s="47" t="s">
        <v>19</v>
      </c>
      <c r="Q37" s="47">
        <v>11061</v>
      </c>
      <c r="R37" s="48" t="s">
        <v>19</v>
      </c>
      <c r="S37" s="50">
        <f t="shared" si="10"/>
        <v>4.1832111682123019</v>
      </c>
      <c r="T37" s="51">
        <f t="shared" si="10"/>
        <v>66.838466547515139</v>
      </c>
      <c r="U37" s="51"/>
      <c r="V37" s="73"/>
      <c r="W37" s="53" t="s">
        <v>259</v>
      </c>
      <c r="X37" s="54" t="s">
        <v>260</v>
      </c>
      <c r="Y37" s="54" t="s">
        <v>261</v>
      </c>
      <c r="Z37" s="54" t="s">
        <v>262</v>
      </c>
      <c r="AA37" s="54" t="s">
        <v>263</v>
      </c>
      <c r="AB37" s="54" t="s">
        <v>264</v>
      </c>
      <c r="AC37" s="54" t="s">
        <v>265</v>
      </c>
      <c r="AD37" s="54" t="s">
        <v>266</v>
      </c>
      <c r="AE37" s="54" t="s">
        <v>267</v>
      </c>
      <c r="AF37" s="55" t="s">
        <v>268</v>
      </c>
    </row>
    <row r="38" spans="1:32" s="21" customFormat="1" x14ac:dyDescent="0.25">
      <c r="A38" s="41"/>
      <c r="B38" s="42" t="s">
        <v>17</v>
      </c>
      <c r="C38" s="43"/>
      <c r="D38" s="44">
        <v>3</v>
      </c>
      <c r="E38" s="45" t="s">
        <v>24</v>
      </c>
      <c r="F38" s="46">
        <v>2384899</v>
      </c>
      <c r="G38" s="47">
        <v>322399</v>
      </c>
      <c r="H38" s="47">
        <v>219782</v>
      </c>
      <c r="I38" s="48"/>
      <c r="J38" s="46">
        <v>215330</v>
      </c>
      <c r="K38" s="47">
        <v>40751</v>
      </c>
      <c r="L38" s="47">
        <v>6965</v>
      </c>
      <c r="M38" s="49">
        <v>3943</v>
      </c>
      <c r="N38" s="47">
        <v>59494</v>
      </c>
      <c r="O38" s="47" t="s">
        <v>19</v>
      </c>
      <c r="P38" s="47">
        <v>37804</v>
      </c>
      <c r="Q38" s="47" t="s">
        <v>19</v>
      </c>
      <c r="R38" s="48">
        <v>66373</v>
      </c>
      <c r="S38" s="50">
        <f t="shared" si="10"/>
        <v>13.518350252987652</v>
      </c>
      <c r="T38" s="51">
        <f t="shared" si="10"/>
        <v>68.170806981411232</v>
      </c>
      <c r="U38" s="51"/>
      <c r="V38" s="73"/>
      <c r="W38" s="53"/>
      <c r="X38" s="54"/>
      <c r="Y38" s="54"/>
      <c r="Z38" s="54"/>
      <c r="AA38" s="54"/>
      <c r="AB38" s="54"/>
      <c r="AC38" s="54"/>
      <c r="AD38" s="54"/>
      <c r="AE38" s="54"/>
      <c r="AF38" s="55"/>
    </row>
    <row r="39" spans="1:32" s="21" customFormat="1" x14ac:dyDescent="0.25">
      <c r="A39" s="41"/>
      <c r="B39" s="42" t="s">
        <v>29</v>
      </c>
      <c r="C39" s="43"/>
      <c r="D39" s="44"/>
      <c r="E39" s="45"/>
      <c r="F39" s="46"/>
      <c r="G39" s="47"/>
      <c r="H39" s="47">
        <v>268024</v>
      </c>
      <c r="I39" s="48">
        <v>264691</v>
      </c>
      <c r="J39" s="46">
        <v>261568</v>
      </c>
      <c r="K39" s="47">
        <v>47770</v>
      </c>
      <c r="L39" s="47">
        <v>8921</v>
      </c>
      <c r="M39" s="49">
        <v>14430</v>
      </c>
      <c r="N39" s="47">
        <v>64372</v>
      </c>
      <c r="O39" s="47">
        <v>10839</v>
      </c>
      <c r="P39" s="47">
        <v>37802</v>
      </c>
      <c r="Q39" s="47">
        <v>11061</v>
      </c>
      <c r="R39" s="48">
        <v>66373</v>
      </c>
      <c r="S39" s="50"/>
      <c r="T39" s="51"/>
      <c r="U39" s="51">
        <f t="shared" ref="U39" si="12">(I39/H39)*100</f>
        <v>98.756454645852614</v>
      </c>
      <c r="V39" s="73">
        <f>(I39/(F37+F38))*100</f>
        <v>6.4397065320843074</v>
      </c>
      <c r="W39" s="53"/>
      <c r="X39" s="54"/>
      <c r="Y39" s="54"/>
      <c r="Z39" s="54"/>
      <c r="AA39" s="54"/>
      <c r="AB39" s="54"/>
      <c r="AC39" s="54"/>
      <c r="AD39" s="54"/>
      <c r="AE39" s="54"/>
      <c r="AF39" s="55"/>
    </row>
    <row r="40" spans="1:32" s="21" customFormat="1" x14ac:dyDescent="0.25">
      <c r="A40" s="26">
        <v>20097214</v>
      </c>
      <c r="B40" s="27"/>
      <c r="C40" s="28" t="s">
        <v>32</v>
      </c>
      <c r="D40" s="29">
        <v>3</v>
      </c>
      <c r="E40" s="30" t="s">
        <v>31</v>
      </c>
      <c r="F40" s="31">
        <f>4000000+955251</f>
        <v>4955251</v>
      </c>
      <c r="G40" s="32">
        <f>3518702+850752</f>
        <v>4369454</v>
      </c>
      <c r="H40" s="32">
        <f>2955228+715907</f>
        <v>3671135</v>
      </c>
      <c r="I40" s="33">
        <v>3671128</v>
      </c>
      <c r="J40" s="31">
        <v>3644945</v>
      </c>
      <c r="K40" s="32">
        <v>155809</v>
      </c>
      <c r="L40" s="32">
        <v>186378</v>
      </c>
      <c r="M40" s="34">
        <v>563075</v>
      </c>
      <c r="N40" s="32">
        <v>1067577</v>
      </c>
      <c r="O40" s="32">
        <v>174626</v>
      </c>
      <c r="P40" s="32">
        <v>629476</v>
      </c>
      <c r="Q40" s="32">
        <v>441826</v>
      </c>
      <c r="R40" s="33">
        <v>426178</v>
      </c>
      <c r="S40" s="35"/>
      <c r="T40" s="36"/>
      <c r="U40" s="36"/>
      <c r="V40" s="71"/>
      <c r="W40" s="38" t="s">
        <v>189</v>
      </c>
      <c r="X40" s="39" t="s">
        <v>190</v>
      </c>
      <c r="Y40" s="39" t="s">
        <v>191</v>
      </c>
      <c r="Z40" s="39" t="s">
        <v>192</v>
      </c>
      <c r="AA40" s="39" t="s">
        <v>193</v>
      </c>
      <c r="AB40" s="39" t="s">
        <v>194</v>
      </c>
      <c r="AC40" s="39" t="s">
        <v>195</v>
      </c>
      <c r="AD40" s="39" t="s">
        <v>196</v>
      </c>
      <c r="AE40" s="39" t="s">
        <v>197</v>
      </c>
      <c r="AF40" s="40" t="s">
        <v>198</v>
      </c>
    </row>
    <row r="41" spans="1:32" s="21" customFormat="1" x14ac:dyDescent="0.25">
      <c r="A41" s="41">
        <v>20101450</v>
      </c>
      <c r="B41" s="42" t="s">
        <v>14</v>
      </c>
      <c r="C41" s="43" t="s">
        <v>33</v>
      </c>
      <c r="D41" s="44">
        <v>7</v>
      </c>
      <c r="E41" s="45" t="s">
        <v>34</v>
      </c>
      <c r="F41" s="46">
        <v>1407613</v>
      </c>
      <c r="G41" s="47">
        <v>1261862</v>
      </c>
      <c r="H41" s="47">
        <v>1058879</v>
      </c>
      <c r="I41" s="48"/>
      <c r="J41" s="46">
        <v>1055571</v>
      </c>
      <c r="K41" s="47" t="s">
        <v>20</v>
      </c>
      <c r="L41" s="47" t="s">
        <v>20</v>
      </c>
      <c r="M41" s="49">
        <v>418749</v>
      </c>
      <c r="N41" s="47">
        <v>102836</v>
      </c>
      <c r="O41" s="47">
        <v>343492</v>
      </c>
      <c r="P41" s="47" t="s">
        <v>19</v>
      </c>
      <c r="Q41" s="47">
        <v>189892</v>
      </c>
      <c r="R41" s="48" t="s">
        <v>19</v>
      </c>
      <c r="S41" s="50">
        <f>(G41/F41)*100</f>
        <v>89.645520466207685</v>
      </c>
      <c r="T41" s="51">
        <f>(H41/G41)*100</f>
        <v>83.914009614363536</v>
      </c>
      <c r="U41" s="51"/>
      <c r="V41" s="73"/>
      <c r="W41" s="53" t="s">
        <v>249</v>
      </c>
      <c r="X41" s="54" t="s">
        <v>250</v>
      </c>
      <c r="Y41" s="54" t="s">
        <v>251</v>
      </c>
      <c r="Z41" s="54" t="s">
        <v>252</v>
      </c>
      <c r="AA41" s="54" t="s">
        <v>253</v>
      </c>
      <c r="AB41" s="54" t="s">
        <v>254</v>
      </c>
      <c r="AC41" s="54" t="s">
        <v>255</v>
      </c>
      <c r="AD41" s="54" t="s">
        <v>256</v>
      </c>
      <c r="AE41" s="54" t="s">
        <v>257</v>
      </c>
      <c r="AF41" s="55" t="s">
        <v>258</v>
      </c>
    </row>
    <row r="42" spans="1:32" s="21" customFormat="1" x14ac:dyDescent="0.25">
      <c r="A42" s="41"/>
      <c r="B42" s="42" t="s">
        <v>17</v>
      </c>
      <c r="C42" s="43"/>
      <c r="D42" s="44">
        <v>7</v>
      </c>
      <c r="E42" s="45" t="s">
        <v>35</v>
      </c>
      <c r="F42" s="46">
        <v>1158173</v>
      </c>
      <c r="G42" s="47">
        <v>1044044</v>
      </c>
      <c r="H42" s="47">
        <v>858455</v>
      </c>
      <c r="I42" s="48"/>
      <c r="J42" s="46">
        <v>856571</v>
      </c>
      <c r="K42" s="47" t="s">
        <v>20</v>
      </c>
      <c r="L42" s="47" t="s">
        <v>20</v>
      </c>
      <c r="M42" s="49">
        <v>2314</v>
      </c>
      <c r="N42" s="47">
        <v>446827</v>
      </c>
      <c r="O42" s="47" t="s">
        <v>19</v>
      </c>
      <c r="P42" s="47">
        <v>8227</v>
      </c>
      <c r="Q42" s="47" t="s">
        <v>19</v>
      </c>
      <c r="R42" s="48">
        <v>397161</v>
      </c>
      <c r="S42" s="50">
        <f>(G42/F42)*100</f>
        <v>90.145772695443611</v>
      </c>
      <c r="T42" s="51">
        <f>(H42/G42)*100</f>
        <v>82.224025041090215</v>
      </c>
      <c r="U42" s="51"/>
      <c r="V42" s="73"/>
      <c r="W42" s="53"/>
      <c r="X42" s="54"/>
      <c r="Y42" s="54"/>
      <c r="Z42" s="54"/>
      <c r="AA42" s="54"/>
      <c r="AB42" s="54"/>
      <c r="AC42" s="54"/>
      <c r="AD42" s="54"/>
      <c r="AE42" s="54"/>
      <c r="AF42" s="55"/>
    </row>
    <row r="43" spans="1:32" s="21" customFormat="1" x14ac:dyDescent="0.25">
      <c r="A43" s="41"/>
      <c r="B43" s="42" t="s">
        <v>29</v>
      </c>
      <c r="C43" s="43"/>
      <c r="D43" s="44"/>
      <c r="E43" s="45"/>
      <c r="F43" s="46"/>
      <c r="G43" s="47"/>
      <c r="H43" s="47">
        <v>1917334</v>
      </c>
      <c r="I43" s="48">
        <v>1917297</v>
      </c>
      <c r="J43" s="46">
        <v>1912132</v>
      </c>
      <c r="K43" s="47"/>
      <c r="L43" s="47"/>
      <c r="M43" s="49">
        <v>421063</v>
      </c>
      <c r="N43" s="47">
        <v>549660</v>
      </c>
      <c r="O43" s="47">
        <v>343497</v>
      </c>
      <c r="P43" s="44">
        <v>8227</v>
      </c>
      <c r="Q43" s="47">
        <v>189893</v>
      </c>
      <c r="R43" s="45">
        <v>397154</v>
      </c>
      <c r="S43" s="50"/>
      <c r="T43" s="51"/>
      <c r="U43" s="51">
        <f t="shared" ref="U43" si="13">(I43/H43)*100</f>
        <v>99.998070237110497</v>
      </c>
      <c r="V43" s="73">
        <f>(I43/(F41+F42))*100</f>
        <v>74.725522705323044</v>
      </c>
      <c r="W43" s="53"/>
      <c r="X43" s="54"/>
      <c r="Y43" s="54"/>
      <c r="Z43" s="54"/>
      <c r="AA43" s="54"/>
      <c r="AB43" s="54"/>
      <c r="AC43" s="54"/>
      <c r="AD43" s="54"/>
      <c r="AE43" s="54"/>
      <c r="AF43" s="55"/>
    </row>
    <row r="44" spans="1:32" s="21" customFormat="1" x14ac:dyDescent="0.25">
      <c r="A44" s="26">
        <v>20097575</v>
      </c>
      <c r="B44" s="27" t="s">
        <v>14</v>
      </c>
      <c r="C44" s="28" t="s">
        <v>36</v>
      </c>
      <c r="D44" s="29">
        <v>7</v>
      </c>
      <c r="E44" s="30" t="s">
        <v>21</v>
      </c>
      <c r="F44" s="31">
        <v>2108313</v>
      </c>
      <c r="G44" s="32">
        <v>56447</v>
      </c>
      <c r="H44" s="32">
        <v>36169</v>
      </c>
      <c r="I44" s="33"/>
      <c r="J44" s="31">
        <v>31759</v>
      </c>
      <c r="K44" s="32">
        <v>5773</v>
      </c>
      <c r="L44" s="32" t="s">
        <v>20</v>
      </c>
      <c r="M44" s="34">
        <v>7307</v>
      </c>
      <c r="N44" s="32">
        <v>3257</v>
      </c>
      <c r="O44" s="29">
        <v>6824</v>
      </c>
      <c r="P44" s="32" t="s">
        <v>19</v>
      </c>
      <c r="Q44" s="29">
        <v>6192</v>
      </c>
      <c r="R44" s="33" t="s">
        <v>19</v>
      </c>
      <c r="S44" s="35">
        <f>(G44/F44)*100</f>
        <v>2.6773538843615725</v>
      </c>
      <c r="T44" s="36">
        <f>(H44/G44)*100</f>
        <v>64.07603592750722</v>
      </c>
      <c r="U44" s="36"/>
      <c r="V44" s="71"/>
      <c r="W44" s="38" t="s">
        <v>199</v>
      </c>
      <c r="X44" s="39" t="s">
        <v>200</v>
      </c>
      <c r="Y44" s="39" t="s">
        <v>201</v>
      </c>
      <c r="Z44" s="39" t="s">
        <v>202</v>
      </c>
      <c r="AA44" s="39" t="s">
        <v>203</v>
      </c>
      <c r="AB44" s="39" t="s">
        <v>204</v>
      </c>
      <c r="AC44" s="39" t="s">
        <v>205</v>
      </c>
      <c r="AD44" s="39" t="s">
        <v>206</v>
      </c>
      <c r="AE44" s="39" t="s">
        <v>207</v>
      </c>
      <c r="AF44" s="40" t="s">
        <v>208</v>
      </c>
    </row>
    <row r="45" spans="1:32" s="21" customFormat="1" x14ac:dyDescent="0.25">
      <c r="A45" s="26"/>
      <c r="B45" s="27" t="s">
        <v>17</v>
      </c>
      <c r="C45" s="28"/>
      <c r="D45" s="29">
        <v>7</v>
      </c>
      <c r="E45" s="30" t="s">
        <v>22</v>
      </c>
      <c r="F45" s="31">
        <f>4000000+300789</f>
        <v>4300789</v>
      </c>
      <c r="G45" s="32">
        <f>2027776+148560</f>
        <v>2176336</v>
      </c>
      <c r="H45" s="32">
        <f>1330169+96309</f>
        <v>1426478</v>
      </c>
      <c r="I45" s="33"/>
      <c r="J45" s="31">
        <v>1423163</v>
      </c>
      <c r="K45" s="32">
        <v>400291</v>
      </c>
      <c r="L45" s="32" t="s">
        <v>20</v>
      </c>
      <c r="M45" s="34">
        <v>68515</v>
      </c>
      <c r="N45" s="32">
        <v>321122</v>
      </c>
      <c r="O45" s="32" t="s">
        <v>19</v>
      </c>
      <c r="P45" s="32">
        <v>440237</v>
      </c>
      <c r="Q45" s="32" t="s">
        <v>19</v>
      </c>
      <c r="R45" s="33">
        <v>192765</v>
      </c>
      <c r="S45" s="35">
        <f>(G45/F45)*100</f>
        <v>50.603180021154259</v>
      </c>
      <c r="T45" s="36">
        <f>(H45/G45)*100</f>
        <v>65.544934238095593</v>
      </c>
      <c r="U45" s="36"/>
      <c r="V45" s="71"/>
      <c r="W45" s="38"/>
      <c r="X45" s="39"/>
      <c r="Y45" s="39"/>
      <c r="Z45" s="39"/>
      <c r="AA45" s="39"/>
      <c r="AB45" s="39"/>
      <c r="AC45" s="39"/>
      <c r="AD45" s="39"/>
      <c r="AE45" s="39"/>
      <c r="AF45" s="40"/>
    </row>
    <row r="46" spans="1:32" s="21" customFormat="1" x14ac:dyDescent="0.25">
      <c r="A46" s="26"/>
      <c r="B46" s="27" t="s">
        <v>29</v>
      </c>
      <c r="C46" s="28"/>
      <c r="D46" s="29"/>
      <c r="E46" s="30"/>
      <c r="F46" s="31"/>
      <c r="G46" s="32"/>
      <c r="H46" s="32">
        <v>1462647</v>
      </c>
      <c r="I46" s="33">
        <v>1457066</v>
      </c>
      <c r="J46" s="31">
        <v>1454886</v>
      </c>
      <c r="K46" s="32">
        <v>406063</v>
      </c>
      <c r="L46" s="32"/>
      <c r="M46" s="34">
        <v>75822</v>
      </c>
      <c r="N46" s="32">
        <v>324372</v>
      </c>
      <c r="O46" s="32">
        <v>6824</v>
      </c>
      <c r="P46" s="29">
        <v>440210</v>
      </c>
      <c r="Q46" s="32">
        <v>6192</v>
      </c>
      <c r="R46" s="30">
        <v>192764</v>
      </c>
      <c r="S46" s="35"/>
      <c r="T46" s="36"/>
      <c r="U46" s="36">
        <f t="shared" ref="U46:U47" si="14">(I46/H46)*100</f>
        <v>99.618431514917816</v>
      </c>
      <c r="V46" s="71">
        <f>(I46/(F44+F45))*100</f>
        <v>22.734323778900695</v>
      </c>
      <c r="W46" s="38"/>
      <c r="X46" s="39"/>
      <c r="Y46" s="39"/>
      <c r="Z46" s="39"/>
      <c r="AA46" s="39"/>
      <c r="AB46" s="39"/>
      <c r="AC46" s="39"/>
      <c r="AD46" s="39"/>
      <c r="AE46" s="39"/>
      <c r="AF46" s="40"/>
    </row>
    <row r="47" spans="1:32" s="21" customFormat="1" x14ac:dyDescent="0.25">
      <c r="A47" s="41">
        <v>20097608</v>
      </c>
      <c r="B47" s="42"/>
      <c r="C47" s="43" t="s">
        <v>32</v>
      </c>
      <c r="D47" s="44">
        <v>6</v>
      </c>
      <c r="E47" s="45" t="s">
        <v>40</v>
      </c>
      <c r="F47" s="46">
        <f>4000000+1797718</f>
        <v>5797718</v>
      </c>
      <c r="G47" s="47">
        <f>3493594+1571446</f>
        <v>5065040</v>
      </c>
      <c r="H47" s="47">
        <f>2942087+1323886</f>
        <v>4265973</v>
      </c>
      <c r="I47" s="48">
        <v>4265961</v>
      </c>
      <c r="J47" s="46">
        <v>4250482</v>
      </c>
      <c r="K47" s="47">
        <v>895942</v>
      </c>
      <c r="L47" s="47">
        <v>278428</v>
      </c>
      <c r="M47" s="49">
        <v>832549</v>
      </c>
      <c r="N47" s="47">
        <v>831164</v>
      </c>
      <c r="O47" s="44">
        <v>442489</v>
      </c>
      <c r="P47" s="47">
        <v>444669</v>
      </c>
      <c r="Q47" s="44">
        <v>226783</v>
      </c>
      <c r="R47" s="48">
        <v>298458</v>
      </c>
      <c r="S47" s="50">
        <f t="shared" ref="S47:T49" si="15">(G47/F47)*100</f>
        <v>87.362648545513949</v>
      </c>
      <c r="T47" s="51">
        <f t="shared" si="15"/>
        <v>84.223875823290641</v>
      </c>
      <c r="U47" s="51">
        <f t="shared" si="14"/>
        <v>99.999718704267465</v>
      </c>
      <c r="V47" s="73">
        <f>(I47/F47)*100</f>
        <v>73.580001648924636</v>
      </c>
      <c r="W47" s="53" t="s">
        <v>209</v>
      </c>
      <c r="X47" s="54" t="s">
        <v>210</v>
      </c>
      <c r="Y47" s="54" t="s">
        <v>211</v>
      </c>
      <c r="Z47" s="54" t="s">
        <v>212</v>
      </c>
      <c r="AA47" s="54" t="s">
        <v>213</v>
      </c>
      <c r="AB47" s="54" t="s">
        <v>214</v>
      </c>
      <c r="AC47" s="54" t="s">
        <v>215</v>
      </c>
      <c r="AD47" s="54" t="s">
        <v>216</v>
      </c>
      <c r="AE47" s="54" t="s">
        <v>217</v>
      </c>
      <c r="AF47" s="55" t="s">
        <v>218</v>
      </c>
    </row>
    <row r="48" spans="1:32" s="21" customFormat="1" x14ac:dyDescent="0.25">
      <c r="A48" s="26">
        <v>20097661</v>
      </c>
      <c r="B48" s="27" t="s">
        <v>14</v>
      </c>
      <c r="C48" s="28" t="s">
        <v>36</v>
      </c>
      <c r="D48" s="29">
        <v>6</v>
      </c>
      <c r="E48" s="30" t="s">
        <v>21</v>
      </c>
      <c r="F48" s="31">
        <v>3747467</v>
      </c>
      <c r="G48" s="32">
        <v>1252920</v>
      </c>
      <c r="H48" s="32">
        <v>820922</v>
      </c>
      <c r="I48" s="33"/>
      <c r="J48" s="31">
        <v>817560</v>
      </c>
      <c r="K48" s="32">
        <v>169007</v>
      </c>
      <c r="L48" s="32">
        <v>123399</v>
      </c>
      <c r="M48" s="34">
        <v>132514</v>
      </c>
      <c r="N48" s="32">
        <v>128676</v>
      </c>
      <c r="O48" s="32">
        <v>161804</v>
      </c>
      <c r="P48" s="32" t="s">
        <v>19</v>
      </c>
      <c r="Q48" s="32">
        <v>102160</v>
      </c>
      <c r="R48" s="33" t="s">
        <v>19</v>
      </c>
      <c r="S48" s="35">
        <f t="shared" si="15"/>
        <v>33.433783406231463</v>
      </c>
      <c r="T48" s="36">
        <f t="shared" si="15"/>
        <v>65.520703636305583</v>
      </c>
      <c r="U48" s="36"/>
      <c r="V48" s="71"/>
      <c r="W48" s="38" t="s">
        <v>229</v>
      </c>
      <c r="X48" s="39" t="s">
        <v>230</v>
      </c>
      <c r="Y48" s="39" t="s">
        <v>231</v>
      </c>
      <c r="Z48" s="39" t="s">
        <v>232</v>
      </c>
      <c r="AA48" s="39" t="s">
        <v>233</v>
      </c>
      <c r="AB48" s="39" t="s">
        <v>234</v>
      </c>
      <c r="AC48" s="39" t="s">
        <v>235</v>
      </c>
      <c r="AD48" s="39" t="s">
        <v>236</v>
      </c>
      <c r="AE48" s="39" t="s">
        <v>237</v>
      </c>
      <c r="AF48" s="40" t="s">
        <v>238</v>
      </c>
    </row>
    <row r="49" spans="1:32" s="21" customFormat="1" x14ac:dyDescent="0.25">
      <c r="A49" s="26"/>
      <c r="B49" s="27" t="s">
        <v>17</v>
      </c>
      <c r="C49" s="28"/>
      <c r="D49" s="29">
        <v>6</v>
      </c>
      <c r="E49" s="30" t="s">
        <v>22</v>
      </c>
      <c r="F49" s="31">
        <v>2193720</v>
      </c>
      <c r="G49" s="32">
        <v>255209</v>
      </c>
      <c r="H49" s="32">
        <v>166546</v>
      </c>
      <c r="I49" s="33"/>
      <c r="J49" s="31">
        <v>164243</v>
      </c>
      <c r="K49" s="32">
        <v>47907</v>
      </c>
      <c r="L49" s="32">
        <v>8555</v>
      </c>
      <c r="M49" s="34">
        <v>11273</v>
      </c>
      <c r="N49" s="79">
        <v>39187</v>
      </c>
      <c r="O49" s="32" t="s">
        <v>19</v>
      </c>
      <c r="P49" s="29">
        <v>32840</v>
      </c>
      <c r="Q49" s="32" t="s">
        <v>19</v>
      </c>
      <c r="R49" s="30">
        <v>24481</v>
      </c>
      <c r="S49" s="35">
        <f t="shared" si="15"/>
        <v>11.63361778166767</v>
      </c>
      <c r="T49" s="36">
        <f t="shared" si="15"/>
        <v>65.258670344697876</v>
      </c>
      <c r="U49" s="36"/>
      <c r="V49" s="71"/>
      <c r="W49" s="38"/>
      <c r="X49" s="39"/>
      <c r="Y49" s="39"/>
      <c r="Z49" s="39"/>
      <c r="AA49" s="39"/>
      <c r="AB49" s="39"/>
      <c r="AC49" s="39"/>
      <c r="AD49" s="39"/>
      <c r="AE49" s="39"/>
      <c r="AF49" s="40"/>
    </row>
    <row r="50" spans="1:32" s="21" customFormat="1" x14ac:dyDescent="0.25">
      <c r="A50" s="26"/>
      <c r="B50" s="27" t="s">
        <v>29</v>
      </c>
      <c r="C50" s="28"/>
      <c r="D50" s="29"/>
      <c r="E50" s="30"/>
      <c r="F50" s="31"/>
      <c r="G50" s="32"/>
      <c r="H50" s="32">
        <v>987468</v>
      </c>
      <c r="I50" s="33">
        <v>982893</v>
      </c>
      <c r="J50" s="31">
        <v>981800</v>
      </c>
      <c r="K50" s="32">
        <v>216914</v>
      </c>
      <c r="L50" s="32">
        <v>131954</v>
      </c>
      <c r="M50" s="34">
        <v>143787</v>
      </c>
      <c r="N50" s="32">
        <v>167861</v>
      </c>
      <c r="O50" s="29">
        <v>161804</v>
      </c>
      <c r="P50" s="32">
        <v>32839</v>
      </c>
      <c r="Q50" s="29">
        <v>102160</v>
      </c>
      <c r="R50" s="33">
        <v>24481</v>
      </c>
      <c r="S50" s="35"/>
      <c r="T50" s="36"/>
      <c r="U50" s="36">
        <f t="shared" ref="U50:U51" si="16">(I50/H50)*100</f>
        <v>99.536693847294288</v>
      </c>
      <c r="V50" s="71">
        <f>(I50/(F48+F49))*100</f>
        <v>16.543714244308418</v>
      </c>
      <c r="W50" s="38"/>
      <c r="X50" s="39"/>
      <c r="Y50" s="39"/>
      <c r="Z50" s="39"/>
      <c r="AA50" s="39"/>
      <c r="AB50" s="39"/>
      <c r="AC50" s="39"/>
      <c r="AD50" s="39"/>
      <c r="AE50" s="39"/>
      <c r="AF50" s="40"/>
    </row>
    <row r="51" spans="1:32" s="21" customFormat="1" x14ac:dyDescent="0.25">
      <c r="A51" s="41">
        <v>20097639</v>
      </c>
      <c r="B51" s="42"/>
      <c r="C51" s="43" t="s">
        <v>32</v>
      </c>
      <c r="D51" s="44">
        <v>5</v>
      </c>
      <c r="E51" s="45" t="s">
        <v>39</v>
      </c>
      <c r="F51" s="46">
        <f>4000000+4000000+1644323</f>
        <v>9644323</v>
      </c>
      <c r="G51" s="47">
        <f>3240426+3258298+1330464</f>
        <v>7829188</v>
      </c>
      <c r="H51" s="47">
        <f>2794347+2804985+1148898</f>
        <v>6748230</v>
      </c>
      <c r="I51" s="48">
        <v>6748218</v>
      </c>
      <c r="J51" s="46">
        <v>6740540</v>
      </c>
      <c r="K51" s="47">
        <v>1275472</v>
      </c>
      <c r="L51" s="47">
        <v>1372877</v>
      </c>
      <c r="M51" s="49">
        <v>806535</v>
      </c>
      <c r="N51" s="47">
        <v>1455464</v>
      </c>
      <c r="O51" s="47">
        <v>584189</v>
      </c>
      <c r="P51" s="47">
        <v>468333</v>
      </c>
      <c r="Q51" s="47">
        <v>382920</v>
      </c>
      <c r="R51" s="48">
        <v>394750</v>
      </c>
      <c r="S51" s="50">
        <f t="shared" ref="S51:T53" si="17">(G51/F51)*100</f>
        <v>81.179238812304405</v>
      </c>
      <c r="T51" s="51">
        <f t="shared" si="17"/>
        <v>86.19322974489819</v>
      </c>
      <c r="U51" s="51">
        <f t="shared" si="16"/>
        <v>99.999822175592712</v>
      </c>
      <c r="V51" s="73">
        <f>(I51/F51)*100</f>
        <v>69.97088338911918</v>
      </c>
      <c r="W51" s="53" t="s">
        <v>219</v>
      </c>
      <c r="X51" s="54" t="s">
        <v>220</v>
      </c>
      <c r="Y51" s="54" t="s">
        <v>221</v>
      </c>
      <c r="Z51" s="54" t="s">
        <v>222</v>
      </c>
      <c r="AA51" s="54" t="s">
        <v>223</v>
      </c>
      <c r="AB51" s="54" t="s">
        <v>224</v>
      </c>
      <c r="AC51" s="54" t="s">
        <v>225</v>
      </c>
      <c r="AD51" s="54" t="s">
        <v>226</v>
      </c>
      <c r="AE51" s="54" t="s">
        <v>227</v>
      </c>
      <c r="AF51" s="55" t="s">
        <v>228</v>
      </c>
    </row>
    <row r="52" spans="1:32" s="21" customFormat="1" x14ac:dyDescent="0.25">
      <c r="A52" s="26">
        <v>20100450</v>
      </c>
      <c r="B52" s="27" t="s">
        <v>14</v>
      </c>
      <c r="C52" s="28" t="s">
        <v>36</v>
      </c>
      <c r="D52" s="29">
        <v>3</v>
      </c>
      <c r="E52" s="30" t="s">
        <v>21</v>
      </c>
      <c r="F52" s="31">
        <v>2351865</v>
      </c>
      <c r="G52" s="32">
        <v>377599</v>
      </c>
      <c r="H52" s="32">
        <v>243943</v>
      </c>
      <c r="I52" s="33"/>
      <c r="J52" s="31">
        <v>241091</v>
      </c>
      <c r="K52" s="34">
        <v>42386</v>
      </c>
      <c r="L52" s="32">
        <v>29540</v>
      </c>
      <c r="M52" s="34">
        <v>48672</v>
      </c>
      <c r="N52" s="32">
        <v>22222</v>
      </c>
      <c r="O52" s="32">
        <v>49217</v>
      </c>
      <c r="P52" s="32" t="s">
        <v>19</v>
      </c>
      <c r="Q52" s="32">
        <v>49054</v>
      </c>
      <c r="R52" s="33" t="s">
        <v>19</v>
      </c>
      <c r="S52" s="35">
        <f t="shared" si="17"/>
        <v>16.055300793200288</v>
      </c>
      <c r="T52" s="36">
        <f t="shared" si="17"/>
        <v>64.60371981917325</v>
      </c>
      <c r="U52" s="36"/>
      <c r="V52" s="71"/>
      <c r="W52" s="38" t="s">
        <v>239</v>
      </c>
      <c r="X52" s="39" t="s">
        <v>240</v>
      </c>
      <c r="Y52" s="39" t="s">
        <v>241</v>
      </c>
      <c r="Z52" s="39" t="s">
        <v>242</v>
      </c>
      <c r="AA52" s="39" t="s">
        <v>243</v>
      </c>
      <c r="AB52" s="39" t="s">
        <v>244</v>
      </c>
      <c r="AC52" s="39" t="s">
        <v>245</v>
      </c>
      <c r="AD52" s="39" t="s">
        <v>246</v>
      </c>
      <c r="AE52" s="39" t="s">
        <v>247</v>
      </c>
      <c r="AF52" s="40" t="s">
        <v>248</v>
      </c>
    </row>
    <row r="53" spans="1:32" s="21" customFormat="1" x14ac:dyDescent="0.25">
      <c r="A53" s="26"/>
      <c r="B53" s="27" t="s">
        <v>17</v>
      </c>
      <c r="C53" s="28"/>
      <c r="D53" s="29">
        <v>3</v>
      </c>
      <c r="E53" s="30" t="s">
        <v>22</v>
      </c>
      <c r="F53" s="31">
        <v>2382988</v>
      </c>
      <c r="G53" s="32">
        <v>129211</v>
      </c>
      <c r="H53" s="32">
        <v>86122</v>
      </c>
      <c r="I53" s="33"/>
      <c r="J53" s="31">
        <v>83314</v>
      </c>
      <c r="K53" s="34">
        <v>22119</v>
      </c>
      <c r="L53" s="32">
        <v>3619</v>
      </c>
      <c r="M53" s="34">
        <v>217</v>
      </c>
      <c r="N53" s="32">
        <v>23314</v>
      </c>
      <c r="O53" s="32" t="s">
        <v>19</v>
      </c>
      <c r="P53" s="32">
        <v>21292</v>
      </c>
      <c r="Q53" s="32" t="s">
        <v>19</v>
      </c>
      <c r="R53" s="33">
        <v>12753</v>
      </c>
      <c r="S53" s="35">
        <f t="shared" si="17"/>
        <v>5.4222262134765264</v>
      </c>
      <c r="T53" s="36">
        <f t="shared" si="17"/>
        <v>66.652220012228057</v>
      </c>
      <c r="U53" s="36"/>
      <c r="V53" s="71"/>
      <c r="W53" s="38"/>
      <c r="X53" s="39"/>
      <c r="Y53" s="39"/>
      <c r="Z53" s="39"/>
      <c r="AA53" s="39"/>
      <c r="AB53" s="39"/>
      <c r="AC53" s="39"/>
      <c r="AD53" s="39"/>
      <c r="AE53" s="39"/>
      <c r="AF53" s="40"/>
    </row>
    <row r="54" spans="1:32" s="21" customFormat="1" x14ac:dyDescent="0.25">
      <c r="A54" s="26"/>
      <c r="B54" s="27" t="s">
        <v>29</v>
      </c>
      <c r="C54" s="28"/>
      <c r="D54" s="29"/>
      <c r="E54" s="30"/>
      <c r="F54" s="31"/>
      <c r="G54" s="32"/>
      <c r="H54" s="32">
        <v>330065</v>
      </c>
      <c r="I54" s="33">
        <v>325615</v>
      </c>
      <c r="J54" s="31">
        <v>324404</v>
      </c>
      <c r="K54" s="34">
        <v>64505</v>
      </c>
      <c r="L54" s="32">
        <v>33159</v>
      </c>
      <c r="M54" s="34">
        <v>48889</v>
      </c>
      <c r="N54" s="32">
        <v>45536</v>
      </c>
      <c r="O54" s="32">
        <v>49217</v>
      </c>
      <c r="P54" s="32">
        <v>21291</v>
      </c>
      <c r="Q54" s="32">
        <v>49054</v>
      </c>
      <c r="R54" s="33">
        <v>12753</v>
      </c>
      <c r="S54" s="35"/>
      <c r="T54" s="36"/>
      <c r="U54" s="36">
        <f t="shared" ref="U54" si="18">(I54/H54)*100</f>
        <v>98.651780709860176</v>
      </c>
      <c r="V54" s="71">
        <f>(I54/(F52+F53))*100</f>
        <v>6.8769822421097349</v>
      </c>
      <c r="W54" s="38"/>
      <c r="X54" s="39"/>
      <c r="Y54" s="39"/>
      <c r="Z54" s="39"/>
      <c r="AA54" s="39"/>
      <c r="AB54" s="39"/>
      <c r="AC54" s="39"/>
      <c r="AD54" s="39"/>
      <c r="AE54" s="39"/>
      <c r="AF54" s="40"/>
    </row>
    <row r="55" spans="1:32" s="21" customFormat="1" x14ac:dyDescent="0.25">
      <c r="A55" s="41">
        <v>20101910</v>
      </c>
      <c r="B55" s="42" t="s">
        <v>14</v>
      </c>
      <c r="C55" s="43" t="s">
        <v>36</v>
      </c>
      <c r="D55" s="44">
        <v>2</v>
      </c>
      <c r="E55" s="45" t="s">
        <v>23</v>
      </c>
      <c r="F55" s="46">
        <v>2311869</v>
      </c>
      <c r="G55" s="47">
        <v>129409</v>
      </c>
      <c r="H55" s="47">
        <v>89497</v>
      </c>
      <c r="I55" s="48"/>
      <c r="J55" s="46">
        <v>81790</v>
      </c>
      <c r="K55" s="47">
        <v>15084</v>
      </c>
      <c r="L55" s="47" t="s">
        <v>20</v>
      </c>
      <c r="M55" s="49">
        <v>15033</v>
      </c>
      <c r="N55" s="47">
        <v>10585</v>
      </c>
      <c r="O55" s="47">
        <v>19497</v>
      </c>
      <c r="P55" s="47" t="s">
        <v>19</v>
      </c>
      <c r="Q55" s="47">
        <v>18708</v>
      </c>
      <c r="R55" s="48" t="s">
        <v>19</v>
      </c>
      <c r="S55" s="50">
        <f>(G55/F55)*100</f>
        <v>5.5975922511180345</v>
      </c>
      <c r="T55" s="51">
        <f>(H55/G55)*100</f>
        <v>69.15825019898152</v>
      </c>
      <c r="U55" s="51"/>
      <c r="V55" s="73"/>
      <c r="W55" s="53" t="s">
        <v>269</v>
      </c>
      <c r="X55" s="54" t="s">
        <v>270</v>
      </c>
      <c r="Y55" s="54" t="s">
        <v>271</v>
      </c>
      <c r="Z55" s="54" t="s">
        <v>272</v>
      </c>
      <c r="AA55" s="54" t="s">
        <v>273</v>
      </c>
      <c r="AB55" s="54" t="s">
        <v>274</v>
      </c>
      <c r="AC55" s="54" t="s">
        <v>275</v>
      </c>
      <c r="AD55" s="54" t="s">
        <v>276</v>
      </c>
      <c r="AE55" s="54" t="s">
        <v>277</v>
      </c>
      <c r="AF55" s="55" t="s">
        <v>278</v>
      </c>
    </row>
    <row r="56" spans="1:32" s="21" customFormat="1" x14ac:dyDescent="0.25">
      <c r="A56" s="41"/>
      <c r="B56" s="42" t="s">
        <v>17</v>
      </c>
      <c r="C56" s="43"/>
      <c r="D56" s="44">
        <v>2</v>
      </c>
      <c r="E56" s="45" t="s">
        <v>24</v>
      </c>
      <c r="F56" s="46">
        <v>2055880</v>
      </c>
      <c r="G56" s="47">
        <v>143798</v>
      </c>
      <c r="H56" s="47">
        <v>94553</v>
      </c>
      <c r="I56" s="48"/>
      <c r="J56" s="46">
        <v>89713</v>
      </c>
      <c r="K56" s="47">
        <v>18752</v>
      </c>
      <c r="L56" s="47" t="s">
        <v>20</v>
      </c>
      <c r="M56" s="49">
        <v>1228</v>
      </c>
      <c r="N56" s="47">
        <v>25949</v>
      </c>
      <c r="O56" s="47" t="s">
        <v>19</v>
      </c>
      <c r="P56" s="47">
        <v>31533</v>
      </c>
      <c r="Q56" s="47" t="s">
        <v>19</v>
      </c>
      <c r="R56" s="48">
        <v>10807</v>
      </c>
      <c r="S56" s="50">
        <f>(G56/F56)*100</f>
        <v>6.9944743856645326</v>
      </c>
      <c r="T56" s="51">
        <f>(H56/G56)*100</f>
        <v>65.75404386709134</v>
      </c>
      <c r="U56" s="51"/>
      <c r="V56" s="73"/>
      <c r="W56" s="53"/>
      <c r="X56" s="54"/>
      <c r="Y56" s="54"/>
      <c r="Z56" s="54"/>
      <c r="AA56" s="54"/>
      <c r="AB56" s="54"/>
      <c r="AC56" s="54"/>
      <c r="AD56" s="54"/>
      <c r="AE56" s="54"/>
      <c r="AF56" s="55"/>
    </row>
    <row r="57" spans="1:32" s="21" customFormat="1" x14ac:dyDescent="0.25">
      <c r="A57" s="41"/>
      <c r="B57" s="42" t="s">
        <v>29</v>
      </c>
      <c r="C57" s="43"/>
      <c r="D57" s="44"/>
      <c r="E57" s="45"/>
      <c r="F57" s="46"/>
      <c r="G57" s="47"/>
      <c r="H57" s="47">
        <v>184050</v>
      </c>
      <c r="I57" s="48">
        <v>174379</v>
      </c>
      <c r="J57" s="46">
        <v>171503</v>
      </c>
      <c r="K57" s="47">
        <v>33836</v>
      </c>
      <c r="L57" s="47"/>
      <c r="M57" s="49">
        <v>16261</v>
      </c>
      <c r="N57" s="47">
        <v>36534</v>
      </c>
      <c r="O57" s="47">
        <v>19497</v>
      </c>
      <c r="P57" s="47">
        <v>31533</v>
      </c>
      <c r="Q57" s="47">
        <v>18708</v>
      </c>
      <c r="R57" s="48">
        <v>10807</v>
      </c>
      <c r="S57" s="50"/>
      <c r="T57" s="51"/>
      <c r="U57" s="51">
        <f t="shared" ref="U57" si="19">(I57/H57)*100</f>
        <v>94.745449606085302</v>
      </c>
      <c r="V57" s="73">
        <f>(I57/(F55+F56))*100</f>
        <v>3.9924226415025221</v>
      </c>
      <c r="W57" s="53"/>
      <c r="X57" s="54"/>
      <c r="Y57" s="54"/>
      <c r="Z57" s="54"/>
      <c r="AA57" s="54"/>
      <c r="AB57" s="54"/>
      <c r="AC57" s="54"/>
      <c r="AD57" s="54"/>
      <c r="AE57" s="54"/>
      <c r="AF57" s="55"/>
    </row>
    <row r="58" spans="1:32" s="21" customFormat="1" x14ac:dyDescent="0.25">
      <c r="A58" s="26">
        <v>20102111</v>
      </c>
      <c r="B58" s="27" t="s">
        <v>14</v>
      </c>
      <c r="C58" s="28" t="s">
        <v>36</v>
      </c>
      <c r="D58" s="29">
        <v>1</v>
      </c>
      <c r="E58" s="30" t="s">
        <v>23</v>
      </c>
      <c r="F58" s="31">
        <v>2302023</v>
      </c>
      <c r="G58" s="32">
        <v>56524</v>
      </c>
      <c r="H58" s="32">
        <v>37147</v>
      </c>
      <c r="I58" s="33"/>
      <c r="J58" s="31">
        <v>34682</v>
      </c>
      <c r="K58" s="32">
        <v>7340</v>
      </c>
      <c r="L58" s="32">
        <v>4460</v>
      </c>
      <c r="M58" s="34">
        <v>5985</v>
      </c>
      <c r="N58" s="32">
        <v>4927</v>
      </c>
      <c r="O58" s="32">
        <v>7100</v>
      </c>
      <c r="P58" s="32" t="s">
        <v>19</v>
      </c>
      <c r="Q58" s="32">
        <v>4870</v>
      </c>
      <c r="R58" s="72" t="s">
        <v>19</v>
      </c>
      <c r="S58" s="35">
        <f>(G58/F58)*100</f>
        <v>2.4554055280942024</v>
      </c>
      <c r="T58" s="36">
        <f>(H58/G58)*100</f>
        <v>65.718986625150379</v>
      </c>
      <c r="U58" s="36"/>
      <c r="V58" s="71"/>
      <c r="W58" s="38" t="s">
        <v>279</v>
      </c>
      <c r="X58" s="39" t="s">
        <v>280</v>
      </c>
      <c r="Y58" s="39" t="s">
        <v>281</v>
      </c>
      <c r="Z58" s="39" t="s">
        <v>282</v>
      </c>
      <c r="AA58" s="39" t="s">
        <v>283</v>
      </c>
      <c r="AB58" s="39" t="s">
        <v>284</v>
      </c>
      <c r="AC58" s="39" t="s">
        <v>285</v>
      </c>
      <c r="AD58" s="39" t="s">
        <v>286</v>
      </c>
      <c r="AE58" s="39" t="s">
        <v>287</v>
      </c>
      <c r="AF58" s="40" t="s">
        <v>288</v>
      </c>
    </row>
    <row r="59" spans="1:32" s="21" customFormat="1" x14ac:dyDescent="0.25">
      <c r="A59" s="26"/>
      <c r="B59" s="27" t="s">
        <v>17</v>
      </c>
      <c r="C59" s="28"/>
      <c r="D59" s="29">
        <v>1</v>
      </c>
      <c r="E59" s="30" t="s">
        <v>24</v>
      </c>
      <c r="F59" s="31">
        <v>2504898</v>
      </c>
      <c r="G59" s="32">
        <v>152275</v>
      </c>
      <c r="H59" s="32">
        <v>99792</v>
      </c>
      <c r="I59" s="33"/>
      <c r="J59" s="31">
        <v>96219</v>
      </c>
      <c r="K59" s="32">
        <v>20024</v>
      </c>
      <c r="L59" s="32">
        <v>10082</v>
      </c>
      <c r="M59" s="34">
        <v>11173</v>
      </c>
      <c r="N59" s="32">
        <v>21063</v>
      </c>
      <c r="O59" s="32" t="s">
        <v>19</v>
      </c>
      <c r="P59" s="32">
        <v>21849</v>
      </c>
      <c r="Q59" s="32" t="s">
        <v>19</v>
      </c>
      <c r="R59" s="72">
        <v>12028</v>
      </c>
      <c r="S59" s="35">
        <f>(G59/F59)*100</f>
        <v>6.0790898471714216</v>
      </c>
      <c r="T59" s="36">
        <f>(H59/G59)*100</f>
        <v>65.53406665572156</v>
      </c>
      <c r="U59" s="36"/>
      <c r="V59" s="71"/>
      <c r="W59" s="38"/>
      <c r="X59" s="39"/>
      <c r="Y59" s="39"/>
      <c r="Z59" s="39"/>
      <c r="AA59" s="39"/>
      <c r="AB59" s="39"/>
      <c r="AC59" s="39"/>
      <c r="AD59" s="39"/>
      <c r="AE59" s="39"/>
      <c r="AF59" s="40"/>
    </row>
    <row r="60" spans="1:32" s="21" customFormat="1" x14ac:dyDescent="0.25">
      <c r="A60" s="26"/>
      <c r="B60" s="27" t="s">
        <v>29</v>
      </c>
      <c r="C60" s="28"/>
      <c r="D60" s="29"/>
      <c r="E60" s="30"/>
      <c r="F60" s="31"/>
      <c r="G60" s="32"/>
      <c r="H60" s="32">
        <v>136939</v>
      </c>
      <c r="I60" s="33">
        <v>132693</v>
      </c>
      <c r="J60" s="31">
        <v>130899</v>
      </c>
      <c r="K60" s="32">
        <v>27364</v>
      </c>
      <c r="L60" s="32">
        <v>14542</v>
      </c>
      <c r="M60" s="34">
        <v>17158</v>
      </c>
      <c r="N60" s="32">
        <v>25988</v>
      </c>
      <c r="O60" s="32">
        <v>7100</v>
      </c>
      <c r="P60" s="32">
        <v>21849</v>
      </c>
      <c r="Q60" s="32">
        <v>4870</v>
      </c>
      <c r="R60" s="72">
        <v>12028</v>
      </c>
      <c r="S60" s="35"/>
      <c r="T60" s="36"/>
      <c r="U60" s="36">
        <f t="shared" ref="U60" si="20">(I60/H60)*100</f>
        <v>96.899349345328943</v>
      </c>
      <c r="V60" s="71">
        <f>(I60/(F58+F59))*100</f>
        <v>2.7604572656800475</v>
      </c>
      <c r="W60" s="38"/>
      <c r="X60" s="39"/>
      <c r="Y60" s="39"/>
      <c r="Z60" s="39"/>
      <c r="AA60" s="39"/>
      <c r="AB60" s="39"/>
      <c r="AC60" s="39"/>
      <c r="AD60" s="39"/>
      <c r="AE60" s="39"/>
      <c r="AF60" s="40"/>
    </row>
    <row r="61" spans="1:32" s="21" customFormat="1" x14ac:dyDescent="0.25">
      <c r="A61" s="41">
        <v>20102207</v>
      </c>
      <c r="B61" s="42" t="s">
        <v>14</v>
      </c>
      <c r="C61" s="43" t="s">
        <v>36</v>
      </c>
      <c r="D61" s="44">
        <v>8</v>
      </c>
      <c r="E61" s="45" t="s">
        <v>15</v>
      </c>
      <c r="F61" s="46">
        <v>2361292</v>
      </c>
      <c r="G61" s="47">
        <v>645512</v>
      </c>
      <c r="H61" s="47">
        <v>424975</v>
      </c>
      <c r="I61" s="48"/>
      <c r="J61" s="46">
        <v>415345</v>
      </c>
      <c r="K61" s="47">
        <v>93661</v>
      </c>
      <c r="L61" s="47">
        <v>85334</v>
      </c>
      <c r="M61" s="49">
        <v>53273</v>
      </c>
      <c r="N61" s="47">
        <v>62890</v>
      </c>
      <c r="O61" s="47">
        <v>67090</v>
      </c>
      <c r="P61" s="47" t="s">
        <v>19</v>
      </c>
      <c r="Q61" s="47">
        <v>53097</v>
      </c>
      <c r="R61" s="48" t="s">
        <v>19</v>
      </c>
      <c r="S61" s="50">
        <f>(G61/F61)*100</f>
        <v>27.337237410705669</v>
      </c>
      <c r="T61" s="51">
        <f>(H61/G61)*100</f>
        <v>65.835336910855261</v>
      </c>
      <c r="U61" s="51"/>
      <c r="V61" s="73"/>
      <c r="W61" s="53" t="s">
        <v>289</v>
      </c>
      <c r="X61" s="54" t="s">
        <v>290</v>
      </c>
      <c r="Y61" s="54" t="s">
        <v>291</v>
      </c>
      <c r="Z61" s="54" t="s">
        <v>292</v>
      </c>
      <c r="AA61" s="54" t="s">
        <v>293</v>
      </c>
      <c r="AB61" s="54" t="s">
        <v>294</v>
      </c>
      <c r="AC61" s="54" t="s">
        <v>295</v>
      </c>
      <c r="AD61" s="54" t="s">
        <v>296</v>
      </c>
      <c r="AE61" s="54" t="s">
        <v>297</v>
      </c>
      <c r="AF61" s="55" t="s">
        <v>298</v>
      </c>
    </row>
    <row r="62" spans="1:32" s="21" customFormat="1" x14ac:dyDescent="0.25">
      <c r="A62" s="41"/>
      <c r="B62" s="42" t="s">
        <v>17</v>
      </c>
      <c r="C62" s="43"/>
      <c r="D62" s="44">
        <v>8</v>
      </c>
      <c r="E62" s="45" t="s">
        <v>18</v>
      </c>
      <c r="F62" s="46">
        <v>2191566</v>
      </c>
      <c r="G62" s="47">
        <v>765608</v>
      </c>
      <c r="H62" s="47">
        <v>493593</v>
      </c>
      <c r="I62" s="48"/>
      <c r="J62" s="46">
        <v>485340</v>
      </c>
      <c r="K62" s="47">
        <v>104248</v>
      </c>
      <c r="L62" s="47">
        <v>81309</v>
      </c>
      <c r="M62" s="49">
        <v>73279</v>
      </c>
      <c r="N62" s="47">
        <v>94037</v>
      </c>
      <c r="O62" s="47" t="s">
        <v>19</v>
      </c>
      <c r="P62" s="47">
        <v>78387</v>
      </c>
      <c r="Q62" s="47" t="s">
        <v>19</v>
      </c>
      <c r="R62" s="48">
        <v>54080</v>
      </c>
      <c r="S62" s="50">
        <f>(G62/F62)*100</f>
        <v>34.934288997000316</v>
      </c>
      <c r="T62" s="51">
        <f>(H62/G62)*100</f>
        <v>64.470721309077234</v>
      </c>
      <c r="U62" s="51"/>
      <c r="V62" s="73"/>
      <c r="W62" s="53"/>
      <c r="X62" s="54"/>
      <c r="Y62" s="54"/>
      <c r="Z62" s="54"/>
      <c r="AA62" s="54"/>
      <c r="AB62" s="54"/>
      <c r="AC62" s="54"/>
      <c r="AD62" s="54"/>
      <c r="AE62" s="54"/>
      <c r="AF62" s="55"/>
    </row>
    <row r="63" spans="1:32" s="21" customFormat="1" x14ac:dyDescent="0.25">
      <c r="A63" s="41"/>
      <c r="B63" s="42" t="s">
        <v>29</v>
      </c>
      <c r="C63" s="43"/>
      <c r="D63" s="44"/>
      <c r="E63" s="45"/>
      <c r="F63" s="46"/>
      <c r="G63" s="47"/>
      <c r="H63" s="47">
        <v>918568</v>
      </c>
      <c r="I63" s="48">
        <v>915626</v>
      </c>
      <c r="J63" s="46">
        <v>900677</v>
      </c>
      <c r="K63" s="47">
        <v>197909</v>
      </c>
      <c r="L63" s="47">
        <v>166643</v>
      </c>
      <c r="M63" s="49">
        <v>126552</v>
      </c>
      <c r="N63" s="47">
        <v>156921</v>
      </c>
      <c r="O63" s="47">
        <v>67090</v>
      </c>
      <c r="P63" s="47">
        <v>78385</v>
      </c>
      <c r="Q63" s="47">
        <v>53097</v>
      </c>
      <c r="R63" s="48">
        <v>54080</v>
      </c>
      <c r="S63" s="50"/>
      <c r="T63" s="51"/>
      <c r="U63" s="51">
        <f t="shared" ref="U63" si="21">(I63/H63)*100</f>
        <v>99.679718866757824</v>
      </c>
      <c r="V63" s="73">
        <f>(I63/(F61+F62))*100</f>
        <v>20.111015981609793</v>
      </c>
      <c r="W63" s="53"/>
      <c r="X63" s="54"/>
      <c r="Y63" s="54"/>
      <c r="Z63" s="54"/>
      <c r="AA63" s="54"/>
      <c r="AB63" s="54"/>
      <c r="AC63" s="54"/>
      <c r="AD63" s="54"/>
      <c r="AE63" s="54"/>
      <c r="AF63" s="55"/>
    </row>
    <row r="64" spans="1:32" s="21" customFormat="1" x14ac:dyDescent="0.25">
      <c r="A64" s="26">
        <v>20102251</v>
      </c>
      <c r="B64" s="27" t="s">
        <v>14</v>
      </c>
      <c r="C64" s="28" t="s">
        <v>36</v>
      </c>
      <c r="D64" s="29">
        <v>6</v>
      </c>
      <c r="E64" s="30" t="s">
        <v>15</v>
      </c>
      <c r="F64" s="31">
        <f>4000000+216819</f>
        <v>4216819</v>
      </c>
      <c r="G64" s="32">
        <f>690507+33140</f>
        <v>723647</v>
      </c>
      <c r="H64" s="32">
        <f>489576+23539</f>
        <v>513115</v>
      </c>
      <c r="I64" s="33"/>
      <c r="J64" s="31">
        <v>504117</v>
      </c>
      <c r="K64" s="32">
        <v>48216</v>
      </c>
      <c r="L64" s="32">
        <v>4583</v>
      </c>
      <c r="M64" s="34">
        <v>103623</v>
      </c>
      <c r="N64" s="32">
        <v>62517</v>
      </c>
      <c r="O64" s="32">
        <v>107136</v>
      </c>
      <c r="P64" s="32" t="s">
        <v>19</v>
      </c>
      <c r="Q64" s="32">
        <v>178042</v>
      </c>
      <c r="R64" s="33" t="s">
        <v>19</v>
      </c>
      <c r="S64" s="35">
        <f>(G64/F64)*100</f>
        <v>17.160968967366159</v>
      </c>
      <c r="T64" s="36">
        <f>(H64/G64)*100</f>
        <v>70.906809535588494</v>
      </c>
      <c r="U64" s="36"/>
      <c r="V64" s="71"/>
      <c r="W64" s="38" t="s">
        <v>309</v>
      </c>
      <c r="X64" s="39" t="s">
        <v>310</v>
      </c>
      <c r="Y64" s="39" t="s">
        <v>311</v>
      </c>
      <c r="Z64" s="39" t="s">
        <v>312</v>
      </c>
      <c r="AA64" s="39" t="s">
        <v>313</v>
      </c>
      <c r="AB64" s="39" t="s">
        <v>314</v>
      </c>
      <c r="AC64" s="39" t="s">
        <v>315</v>
      </c>
      <c r="AD64" s="39" t="s">
        <v>316</v>
      </c>
      <c r="AE64" s="39" t="s">
        <v>317</v>
      </c>
      <c r="AF64" s="40" t="s">
        <v>318</v>
      </c>
    </row>
    <row r="65" spans="1:32" s="21" customFormat="1" x14ac:dyDescent="0.25">
      <c r="A65" s="26"/>
      <c r="B65" s="27" t="s">
        <v>17</v>
      </c>
      <c r="C65" s="28"/>
      <c r="D65" s="29">
        <v>6</v>
      </c>
      <c r="E65" s="30" t="s">
        <v>18</v>
      </c>
      <c r="F65" s="31">
        <v>2092609</v>
      </c>
      <c r="G65" s="32">
        <v>232784</v>
      </c>
      <c r="H65" s="32">
        <v>157950</v>
      </c>
      <c r="I65" s="33"/>
      <c r="J65" s="31">
        <v>154540</v>
      </c>
      <c r="K65" s="32">
        <v>30197</v>
      </c>
      <c r="L65" s="32">
        <v>1476</v>
      </c>
      <c r="M65" s="34">
        <v>824</v>
      </c>
      <c r="N65" s="32">
        <v>46871</v>
      </c>
      <c r="O65" s="32" t="s">
        <v>19</v>
      </c>
      <c r="P65" s="32">
        <v>49418</v>
      </c>
      <c r="Q65" s="32" t="s">
        <v>19</v>
      </c>
      <c r="R65" s="33">
        <v>25754</v>
      </c>
      <c r="S65" s="35">
        <f>(G65/F65)*100</f>
        <v>11.124103929592199</v>
      </c>
      <c r="T65" s="36">
        <f>(H65/G65)*100</f>
        <v>67.852601553371358</v>
      </c>
      <c r="U65" s="36"/>
      <c r="V65" s="71"/>
      <c r="W65" s="38"/>
      <c r="X65" s="39"/>
      <c r="Y65" s="39"/>
      <c r="Z65" s="39"/>
      <c r="AA65" s="39"/>
      <c r="AB65" s="39"/>
      <c r="AC65" s="39"/>
      <c r="AD65" s="39"/>
      <c r="AE65" s="39"/>
      <c r="AF65" s="40"/>
    </row>
    <row r="66" spans="1:32" s="21" customFormat="1" x14ac:dyDescent="0.25">
      <c r="A66" s="26"/>
      <c r="B66" s="27" t="s">
        <v>29</v>
      </c>
      <c r="C66" s="28"/>
      <c r="D66" s="29"/>
      <c r="E66" s="30"/>
      <c r="F66" s="31"/>
      <c r="G66" s="32"/>
      <c r="H66" s="32">
        <v>671065</v>
      </c>
      <c r="I66" s="33">
        <v>664317</v>
      </c>
      <c r="J66" s="31">
        <v>658657</v>
      </c>
      <c r="K66" s="32">
        <v>78413</v>
      </c>
      <c r="L66" s="32">
        <v>6059</v>
      </c>
      <c r="M66" s="34">
        <v>104447</v>
      </c>
      <c r="N66" s="32">
        <v>109388</v>
      </c>
      <c r="O66" s="32">
        <v>107136</v>
      </c>
      <c r="P66" s="32">
        <v>49418</v>
      </c>
      <c r="Q66" s="32">
        <v>178042</v>
      </c>
      <c r="R66" s="33">
        <v>25754</v>
      </c>
      <c r="S66" s="35"/>
      <c r="T66" s="36"/>
      <c r="U66" s="36">
        <f t="shared" ref="U66" si="22">(I66/H66)*100</f>
        <v>98.994434220232023</v>
      </c>
      <c r="V66" s="71">
        <f>(I66/(F64+F65))*100</f>
        <v>10.528957617077173</v>
      </c>
      <c r="W66" s="38"/>
      <c r="X66" s="39"/>
      <c r="Y66" s="39"/>
      <c r="Z66" s="39"/>
      <c r="AA66" s="39"/>
      <c r="AB66" s="39"/>
      <c r="AC66" s="39"/>
      <c r="AD66" s="39"/>
      <c r="AE66" s="39"/>
      <c r="AF66" s="40"/>
    </row>
    <row r="67" spans="1:32" s="21" customFormat="1" x14ac:dyDescent="0.25">
      <c r="A67" s="41">
        <v>20102236</v>
      </c>
      <c r="B67" s="42" t="s">
        <v>14</v>
      </c>
      <c r="C67" s="43" t="s">
        <v>36</v>
      </c>
      <c r="D67" s="44">
        <v>7</v>
      </c>
      <c r="E67" s="45" t="s">
        <v>15</v>
      </c>
      <c r="F67" s="46">
        <v>2837218</v>
      </c>
      <c r="G67" s="47">
        <v>193054</v>
      </c>
      <c r="H67" s="47">
        <v>121589</v>
      </c>
      <c r="I67" s="48"/>
      <c r="J67" s="46">
        <v>117872</v>
      </c>
      <c r="K67" s="47">
        <v>25065</v>
      </c>
      <c r="L67" s="47">
        <v>22629</v>
      </c>
      <c r="M67" s="49">
        <v>16362</v>
      </c>
      <c r="N67" s="47">
        <v>17540</v>
      </c>
      <c r="O67" s="47">
        <v>22949</v>
      </c>
      <c r="P67" s="47" t="s">
        <v>19</v>
      </c>
      <c r="Q67" s="47">
        <v>13327</v>
      </c>
      <c r="R67" s="48" t="s">
        <v>19</v>
      </c>
      <c r="S67" s="50">
        <f>(G67/F67)*100</f>
        <v>6.8043414358713363</v>
      </c>
      <c r="T67" s="51">
        <f>(H67/G67)*100</f>
        <v>62.981859997720846</v>
      </c>
      <c r="U67" s="51"/>
      <c r="V67" s="73"/>
      <c r="W67" s="53" t="s">
        <v>299</v>
      </c>
      <c r="X67" s="54" t="s">
        <v>300</v>
      </c>
      <c r="Y67" s="54" t="s">
        <v>301</v>
      </c>
      <c r="Z67" s="54" t="s">
        <v>302</v>
      </c>
      <c r="AA67" s="54" t="s">
        <v>303</v>
      </c>
      <c r="AB67" s="54" t="s">
        <v>304</v>
      </c>
      <c r="AC67" s="54" t="s">
        <v>305</v>
      </c>
      <c r="AD67" s="54" t="s">
        <v>306</v>
      </c>
      <c r="AE67" s="54" t="s">
        <v>307</v>
      </c>
      <c r="AF67" s="55" t="s">
        <v>308</v>
      </c>
    </row>
    <row r="68" spans="1:32" s="21" customFormat="1" x14ac:dyDescent="0.25">
      <c r="A68" s="41"/>
      <c r="B68" s="42" t="s">
        <v>17</v>
      </c>
      <c r="C68" s="43"/>
      <c r="D68" s="44">
        <v>7</v>
      </c>
      <c r="E68" s="45" t="s">
        <v>18</v>
      </c>
      <c r="F68" s="46">
        <v>1762864</v>
      </c>
      <c r="G68" s="47">
        <v>132026</v>
      </c>
      <c r="H68" s="47">
        <v>87117</v>
      </c>
      <c r="I68" s="48"/>
      <c r="J68" s="46">
        <v>83167</v>
      </c>
      <c r="K68" s="47">
        <v>17322</v>
      </c>
      <c r="L68" s="47">
        <v>12191</v>
      </c>
      <c r="M68" s="49">
        <v>895</v>
      </c>
      <c r="N68" s="47">
        <v>20015</v>
      </c>
      <c r="O68" s="47" t="s">
        <v>19</v>
      </c>
      <c r="P68" s="47">
        <v>21282</v>
      </c>
      <c r="Q68" s="47" t="s">
        <v>19</v>
      </c>
      <c r="R68" s="48">
        <v>11462</v>
      </c>
      <c r="S68" s="50">
        <f>(G68/F68)*100</f>
        <v>7.4892901551112274</v>
      </c>
      <c r="T68" s="51">
        <f>(H68/G68)*100</f>
        <v>65.984730280399319</v>
      </c>
      <c r="U68" s="51"/>
      <c r="V68" s="73"/>
      <c r="W68" s="53"/>
      <c r="X68" s="54"/>
      <c r="Y68" s="54"/>
      <c r="Z68" s="54"/>
      <c r="AA68" s="54"/>
      <c r="AB68" s="54"/>
      <c r="AC68" s="54"/>
      <c r="AD68" s="54"/>
      <c r="AE68" s="54"/>
      <c r="AF68" s="55"/>
    </row>
    <row r="69" spans="1:32" s="21" customFormat="1" x14ac:dyDescent="0.25">
      <c r="A69" s="41"/>
      <c r="B69" s="42" t="s">
        <v>29</v>
      </c>
      <c r="C69" s="43"/>
      <c r="D69" s="44"/>
      <c r="E69" s="45"/>
      <c r="F69" s="46"/>
      <c r="G69" s="47"/>
      <c r="H69" s="47">
        <v>208706</v>
      </c>
      <c r="I69" s="48">
        <v>203385</v>
      </c>
      <c r="J69" s="46">
        <v>201036</v>
      </c>
      <c r="K69" s="47">
        <v>42386</v>
      </c>
      <c r="L69" s="47">
        <v>34820</v>
      </c>
      <c r="M69" s="49">
        <v>17257</v>
      </c>
      <c r="N69" s="47">
        <v>37553</v>
      </c>
      <c r="O69" s="47">
        <v>22949</v>
      </c>
      <c r="P69" s="47">
        <v>21282</v>
      </c>
      <c r="Q69" s="47">
        <v>13327</v>
      </c>
      <c r="R69" s="48">
        <v>11462</v>
      </c>
      <c r="S69" s="50"/>
      <c r="T69" s="51"/>
      <c r="U69" s="51">
        <f t="shared" ref="U69" si="23">(I69/H69)*100</f>
        <v>97.450480580337896</v>
      </c>
      <c r="V69" s="73">
        <f>(I69/(F67+F68))*100</f>
        <v>4.4213342283898411</v>
      </c>
      <c r="W69" s="53"/>
      <c r="X69" s="54"/>
      <c r="Y69" s="54"/>
      <c r="Z69" s="54"/>
      <c r="AA69" s="54"/>
      <c r="AB69" s="54"/>
      <c r="AC69" s="54"/>
      <c r="AD69" s="54"/>
      <c r="AE69" s="54"/>
      <c r="AF69" s="55"/>
    </row>
    <row r="70" spans="1:32" s="21" customFormat="1" x14ac:dyDescent="0.25">
      <c r="A70" s="26">
        <v>20102362</v>
      </c>
      <c r="B70" s="27" t="s">
        <v>14</v>
      </c>
      <c r="C70" s="28" t="s">
        <v>36</v>
      </c>
      <c r="D70" s="29">
        <v>3</v>
      </c>
      <c r="E70" s="30" t="s">
        <v>15</v>
      </c>
      <c r="F70" s="31">
        <v>2276286</v>
      </c>
      <c r="G70" s="32">
        <v>362352</v>
      </c>
      <c r="H70" s="32">
        <v>231424</v>
      </c>
      <c r="I70" s="33"/>
      <c r="J70" s="31">
        <v>229778</v>
      </c>
      <c r="K70" s="32">
        <v>40205</v>
      </c>
      <c r="L70" s="32">
        <v>53640</v>
      </c>
      <c r="M70" s="34">
        <v>33381</v>
      </c>
      <c r="N70" s="32">
        <v>28778</v>
      </c>
      <c r="O70" s="32">
        <v>44930</v>
      </c>
      <c r="P70" s="32" t="s">
        <v>19</v>
      </c>
      <c r="Q70" s="32">
        <v>28844</v>
      </c>
      <c r="R70" s="33" t="s">
        <v>19</v>
      </c>
      <c r="S70" s="35">
        <f>(G70/F70)*100</f>
        <v>15.918562078754602</v>
      </c>
      <c r="T70" s="36">
        <f>(H70/G70)*100</f>
        <v>63.867178875789286</v>
      </c>
      <c r="U70" s="36"/>
      <c r="V70" s="71"/>
      <c r="W70" s="38" t="s">
        <v>319</v>
      </c>
      <c r="X70" s="39" t="s">
        <v>320</v>
      </c>
      <c r="Y70" s="39" t="s">
        <v>321</v>
      </c>
      <c r="Z70" s="39" t="s">
        <v>322</v>
      </c>
      <c r="AA70" s="39" t="s">
        <v>323</v>
      </c>
      <c r="AB70" s="39" t="s">
        <v>324</v>
      </c>
      <c r="AC70" s="39" t="s">
        <v>325</v>
      </c>
      <c r="AD70" s="39" t="s">
        <v>326</v>
      </c>
      <c r="AE70" s="39" t="s">
        <v>327</v>
      </c>
      <c r="AF70" s="40" t="s">
        <v>328</v>
      </c>
    </row>
    <row r="71" spans="1:32" s="21" customFormat="1" x14ac:dyDescent="0.25">
      <c r="A71" s="26"/>
      <c r="B71" s="27" t="s">
        <v>17</v>
      </c>
      <c r="C71" s="28"/>
      <c r="D71" s="29">
        <v>3</v>
      </c>
      <c r="E71" s="30" t="s">
        <v>18</v>
      </c>
      <c r="F71" s="31">
        <v>1897253</v>
      </c>
      <c r="G71" s="32">
        <v>662634</v>
      </c>
      <c r="H71" s="32">
        <v>434098</v>
      </c>
      <c r="I71" s="33"/>
      <c r="J71" s="31">
        <v>432398</v>
      </c>
      <c r="K71" s="32">
        <v>88414</v>
      </c>
      <c r="L71" s="32">
        <v>43457</v>
      </c>
      <c r="M71" s="34">
        <v>63606</v>
      </c>
      <c r="N71" s="32">
        <v>98595</v>
      </c>
      <c r="O71" s="32" t="s">
        <v>19</v>
      </c>
      <c r="P71" s="32">
        <v>92380</v>
      </c>
      <c r="Q71" s="32" t="s">
        <v>19</v>
      </c>
      <c r="R71" s="33">
        <v>45946</v>
      </c>
      <c r="S71" s="35">
        <f>(G71/F71)*100</f>
        <v>34.92596928295805</v>
      </c>
      <c r="T71" s="36">
        <f>(H71/G71)*100</f>
        <v>65.510975893177843</v>
      </c>
      <c r="U71" s="36"/>
      <c r="V71" s="71"/>
      <c r="W71" s="38"/>
      <c r="X71" s="39"/>
      <c r="Y71" s="39"/>
      <c r="Z71" s="39"/>
      <c r="AA71" s="39"/>
      <c r="AB71" s="39"/>
      <c r="AC71" s="39"/>
      <c r="AD71" s="39"/>
      <c r="AE71" s="39"/>
      <c r="AF71" s="40"/>
    </row>
    <row r="72" spans="1:32" s="21" customFormat="1" x14ac:dyDescent="0.25">
      <c r="A72" s="26"/>
      <c r="B72" s="27" t="s">
        <v>29</v>
      </c>
      <c r="C72" s="28"/>
      <c r="D72" s="29"/>
      <c r="E72" s="30"/>
      <c r="F72" s="31"/>
      <c r="G72" s="32"/>
      <c r="H72" s="32">
        <v>665522</v>
      </c>
      <c r="I72" s="33">
        <v>662978</v>
      </c>
      <c r="J72" s="31">
        <v>662164</v>
      </c>
      <c r="K72" s="32">
        <v>128617</v>
      </c>
      <c r="L72" s="32">
        <v>97097</v>
      </c>
      <c r="M72" s="34">
        <v>96987</v>
      </c>
      <c r="N72" s="32">
        <v>127367</v>
      </c>
      <c r="O72" s="32">
        <v>44930</v>
      </c>
      <c r="P72" s="32">
        <v>92376</v>
      </c>
      <c r="Q72" s="32">
        <v>28844</v>
      </c>
      <c r="R72" s="33">
        <v>45946</v>
      </c>
      <c r="S72" s="35"/>
      <c r="T72" s="36"/>
      <c r="U72" s="36">
        <f t="shared" ref="U72" si="24">(I72/H72)*100</f>
        <v>99.617743665874301</v>
      </c>
      <c r="V72" s="71">
        <f>(I72/(F70+F71))*100</f>
        <v>15.885271468650467</v>
      </c>
      <c r="W72" s="38"/>
      <c r="X72" s="39"/>
      <c r="Y72" s="39"/>
      <c r="Z72" s="39"/>
      <c r="AA72" s="39"/>
      <c r="AB72" s="39"/>
      <c r="AC72" s="39"/>
      <c r="AD72" s="39"/>
      <c r="AE72" s="39"/>
      <c r="AF72" s="40"/>
    </row>
    <row r="73" spans="1:32" s="21" customFormat="1" x14ac:dyDescent="0.25">
      <c r="A73" s="41">
        <v>20110104</v>
      </c>
      <c r="B73" s="42" t="s">
        <v>14</v>
      </c>
      <c r="C73" s="43" t="s">
        <v>36</v>
      </c>
      <c r="D73" s="44">
        <v>1</v>
      </c>
      <c r="E73" s="45" t="s">
        <v>27</v>
      </c>
      <c r="F73" s="46">
        <v>1955350</v>
      </c>
      <c r="G73" s="47">
        <v>49483</v>
      </c>
      <c r="H73" s="47">
        <v>29241</v>
      </c>
      <c r="I73" s="48"/>
      <c r="J73" s="46">
        <v>28082</v>
      </c>
      <c r="K73" s="47">
        <v>5644</v>
      </c>
      <c r="L73" s="47">
        <v>3264</v>
      </c>
      <c r="M73" s="49">
        <v>4563</v>
      </c>
      <c r="N73" s="47">
        <v>4060</v>
      </c>
      <c r="O73" s="47">
        <v>6536</v>
      </c>
      <c r="P73" s="47" t="s">
        <v>19</v>
      </c>
      <c r="Q73" s="47">
        <v>4015</v>
      </c>
      <c r="R73" s="48" t="s">
        <v>19</v>
      </c>
      <c r="S73" s="50">
        <f>(G73/F73)*100</f>
        <v>2.5306466872938351</v>
      </c>
      <c r="T73" s="51">
        <f>(H73/G73)*100</f>
        <v>59.093021845886462</v>
      </c>
      <c r="U73" s="51"/>
      <c r="V73" s="73"/>
      <c r="W73" s="53" t="s">
        <v>329</v>
      </c>
      <c r="X73" s="54" t="s">
        <v>330</v>
      </c>
      <c r="Y73" s="54" t="s">
        <v>331</v>
      </c>
      <c r="Z73" s="54" t="s">
        <v>332</v>
      </c>
      <c r="AA73" s="54" t="s">
        <v>333</v>
      </c>
      <c r="AB73" s="54" t="s">
        <v>334</v>
      </c>
      <c r="AC73" s="54" t="s">
        <v>335</v>
      </c>
      <c r="AD73" s="54" t="s">
        <v>336</v>
      </c>
      <c r="AE73" s="54" t="s">
        <v>337</v>
      </c>
      <c r="AF73" s="55" t="s">
        <v>338</v>
      </c>
    </row>
    <row r="74" spans="1:32" s="21" customFormat="1" x14ac:dyDescent="0.25">
      <c r="A74" s="41"/>
      <c r="B74" s="42" t="s">
        <v>17</v>
      </c>
      <c r="C74" s="43"/>
      <c r="D74" s="44">
        <v>1</v>
      </c>
      <c r="E74" s="45" t="s">
        <v>28</v>
      </c>
      <c r="F74" s="46">
        <v>3458175</v>
      </c>
      <c r="G74" s="47">
        <v>272560</v>
      </c>
      <c r="H74" s="47">
        <v>157268</v>
      </c>
      <c r="I74" s="48"/>
      <c r="J74" s="46">
        <v>153779</v>
      </c>
      <c r="K74" s="47">
        <v>28458</v>
      </c>
      <c r="L74" s="47">
        <v>11513</v>
      </c>
      <c r="M74" s="49">
        <v>16834</v>
      </c>
      <c r="N74" s="47">
        <v>36804</v>
      </c>
      <c r="O74" s="47" t="s">
        <v>19</v>
      </c>
      <c r="P74" s="47">
        <v>43933</v>
      </c>
      <c r="Q74" s="47" t="s">
        <v>19</v>
      </c>
      <c r="R74" s="48">
        <v>16237</v>
      </c>
      <c r="S74" s="50">
        <f>(G74/F74)*100</f>
        <v>7.8816138570199605</v>
      </c>
      <c r="T74" s="51">
        <f>(H74/G74)*100</f>
        <v>57.700322864690342</v>
      </c>
      <c r="U74" s="51"/>
      <c r="V74" s="73"/>
      <c r="W74" s="53"/>
      <c r="X74" s="54"/>
      <c r="Y74" s="54"/>
      <c r="Z74" s="54"/>
      <c r="AA74" s="54"/>
      <c r="AB74" s="54"/>
      <c r="AC74" s="54"/>
      <c r="AD74" s="54"/>
      <c r="AE74" s="54"/>
      <c r="AF74" s="55"/>
    </row>
    <row r="75" spans="1:32" s="21" customFormat="1" x14ac:dyDescent="0.25">
      <c r="A75" s="41"/>
      <c r="B75" s="42" t="s">
        <v>29</v>
      </c>
      <c r="C75" s="43"/>
      <c r="D75" s="44"/>
      <c r="E75" s="45"/>
      <c r="F75" s="46"/>
      <c r="G75" s="47"/>
      <c r="H75" s="47">
        <v>186509</v>
      </c>
      <c r="I75" s="48">
        <v>183899</v>
      </c>
      <c r="J75" s="46">
        <v>181853</v>
      </c>
      <c r="K75" s="47">
        <v>34102</v>
      </c>
      <c r="L75" s="47">
        <v>14775</v>
      </c>
      <c r="M75" s="49">
        <v>21397</v>
      </c>
      <c r="N75" s="47">
        <v>40864</v>
      </c>
      <c r="O75" s="47">
        <v>6536</v>
      </c>
      <c r="P75" s="47">
        <v>43927</v>
      </c>
      <c r="Q75" s="47">
        <v>4015</v>
      </c>
      <c r="R75" s="48">
        <v>16237</v>
      </c>
      <c r="S75" s="50"/>
      <c r="T75" s="51"/>
      <c r="U75" s="51">
        <f t="shared" ref="U75" si="25">(I75/H75)*100</f>
        <v>98.600603724217066</v>
      </c>
      <c r="V75" s="73">
        <f>(I75/(F73+F74))*100</f>
        <v>3.3970287382066213</v>
      </c>
      <c r="W75" s="53"/>
      <c r="X75" s="54"/>
      <c r="Y75" s="54"/>
      <c r="Z75" s="54"/>
      <c r="AA75" s="54"/>
      <c r="AB75" s="54"/>
      <c r="AC75" s="54"/>
      <c r="AD75" s="54"/>
      <c r="AE75" s="54"/>
      <c r="AF75" s="55"/>
    </row>
    <row r="76" spans="1:32" s="21" customFormat="1" x14ac:dyDescent="0.25">
      <c r="A76" s="26">
        <v>20110187</v>
      </c>
      <c r="B76" s="27" t="s">
        <v>14</v>
      </c>
      <c r="C76" s="28" t="s">
        <v>36</v>
      </c>
      <c r="D76" s="29">
        <v>8</v>
      </c>
      <c r="E76" s="30" t="s">
        <v>23</v>
      </c>
      <c r="F76" s="31">
        <v>2334531</v>
      </c>
      <c r="G76" s="32">
        <v>22986</v>
      </c>
      <c r="H76" s="32">
        <v>14426</v>
      </c>
      <c r="I76" s="33"/>
      <c r="J76" s="31">
        <v>13160</v>
      </c>
      <c r="K76" s="32">
        <v>2274</v>
      </c>
      <c r="L76" s="32">
        <v>1686</v>
      </c>
      <c r="M76" s="34">
        <v>2470</v>
      </c>
      <c r="N76" s="32">
        <v>1740</v>
      </c>
      <c r="O76" s="32" t="s">
        <v>20</v>
      </c>
      <c r="P76" s="32" t="s">
        <v>19</v>
      </c>
      <c r="Q76" s="32">
        <v>2479</v>
      </c>
      <c r="R76" s="33" t="s">
        <v>19</v>
      </c>
      <c r="S76" s="35">
        <f>(G76/F76)*100</f>
        <v>0.98460890003174084</v>
      </c>
      <c r="T76" s="36">
        <f>(H76/G76)*100</f>
        <v>62.759940833550857</v>
      </c>
      <c r="U76" s="36"/>
      <c r="V76" s="71"/>
      <c r="W76" s="38" t="s">
        <v>339</v>
      </c>
      <c r="X76" s="39" t="s">
        <v>340</v>
      </c>
      <c r="Y76" s="39" t="s">
        <v>341</v>
      </c>
      <c r="Z76" s="39" t="s">
        <v>342</v>
      </c>
      <c r="AA76" s="39" t="s">
        <v>343</v>
      </c>
      <c r="AB76" s="39" t="s">
        <v>344</v>
      </c>
      <c r="AC76" s="39" t="s">
        <v>345</v>
      </c>
      <c r="AD76" s="39" t="s">
        <v>346</v>
      </c>
      <c r="AE76" s="39" t="s">
        <v>347</v>
      </c>
      <c r="AF76" s="40" t="s">
        <v>348</v>
      </c>
    </row>
    <row r="77" spans="1:32" s="21" customFormat="1" x14ac:dyDescent="0.25">
      <c r="A77" s="26"/>
      <c r="B77" s="27" t="s">
        <v>17</v>
      </c>
      <c r="C77" s="28"/>
      <c r="D77" s="29">
        <v>8</v>
      </c>
      <c r="E77" s="30" t="s">
        <v>24</v>
      </c>
      <c r="F77" s="31">
        <v>2555552</v>
      </c>
      <c r="G77" s="32">
        <v>606277</v>
      </c>
      <c r="H77" s="32">
        <v>398813</v>
      </c>
      <c r="I77" s="33"/>
      <c r="J77" s="31">
        <v>390683</v>
      </c>
      <c r="K77" s="32">
        <v>99313</v>
      </c>
      <c r="L77" s="32">
        <v>17748</v>
      </c>
      <c r="M77" s="34">
        <v>9460</v>
      </c>
      <c r="N77" s="32">
        <v>105950</v>
      </c>
      <c r="O77" s="32" t="s">
        <v>19</v>
      </c>
      <c r="P77" s="32">
        <v>109435</v>
      </c>
      <c r="Q77" s="32" t="s">
        <v>19</v>
      </c>
      <c r="R77" s="33">
        <v>48777</v>
      </c>
      <c r="S77" s="35">
        <f>(G77/F77)*100</f>
        <v>23.723915615882596</v>
      </c>
      <c r="T77" s="36">
        <f>(H77/G77)*100</f>
        <v>65.780658016055369</v>
      </c>
      <c r="U77" s="36"/>
      <c r="V77" s="71"/>
      <c r="W77" s="38"/>
      <c r="X77" s="39"/>
      <c r="Y77" s="39"/>
      <c r="Z77" s="39"/>
      <c r="AA77" s="39"/>
      <c r="AB77" s="39"/>
      <c r="AC77" s="39"/>
      <c r="AD77" s="39"/>
      <c r="AE77" s="39"/>
      <c r="AF77" s="40"/>
    </row>
    <row r="78" spans="1:32" s="21" customFormat="1" x14ac:dyDescent="0.25">
      <c r="A78" s="26"/>
      <c r="B78" s="27" t="s">
        <v>29</v>
      </c>
      <c r="C78" s="28"/>
      <c r="D78" s="29"/>
      <c r="E78" s="30"/>
      <c r="F78" s="28"/>
      <c r="G78" s="29"/>
      <c r="H78" s="32">
        <v>413239</v>
      </c>
      <c r="I78" s="33">
        <v>410666</v>
      </c>
      <c r="J78" s="31">
        <v>403834</v>
      </c>
      <c r="K78" s="32">
        <v>101587</v>
      </c>
      <c r="L78" s="32">
        <v>19434</v>
      </c>
      <c r="M78" s="34">
        <v>11930</v>
      </c>
      <c r="N78" s="32">
        <v>107688</v>
      </c>
      <c r="O78" s="32"/>
      <c r="P78" s="32">
        <v>109428</v>
      </c>
      <c r="Q78" s="32">
        <v>2479</v>
      </c>
      <c r="R78" s="33">
        <v>48777</v>
      </c>
      <c r="S78" s="35"/>
      <c r="T78" s="36"/>
      <c r="U78" s="36">
        <f t="shared" ref="U78" si="26">(I78/H78)*100</f>
        <v>99.377357897003918</v>
      </c>
      <c r="V78" s="71">
        <f>(I78/(F76+F77))*100</f>
        <v>8.3979351679715855</v>
      </c>
      <c r="W78" s="38"/>
      <c r="X78" s="39"/>
      <c r="Y78" s="39"/>
      <c r="Z78" s="39"/>
      <c r="AA78" s="39"/>
      <c r="AB78" s="39"/>
      <c r="AC78" s="39"/>
      <c r="AD78" s="39"/>
      <c r="AE78" s="39"/>
      <c r="AF78" s="40"/>
    </row>
    <row r="79" spans="1:32" s="21" customFormat="1" x14ac:dyDescent="0.25">
      <c r="A79" s="41">
        <v>20110299</v>
      </c>
      <c r="B79" s="42" t="s">
        <v>14</v>
      </c>
      <c r="C79" s="43" t="s">
        <v>36</v>
      </c>
      <c r="D79" s="44">
        <v>6</v>
      </c>
      <c r="E79" s="45" t="s">
        <v>23</v>
      </c>
      <c r="F79" s="46">
        <v>2441219</v>
      </c>
      <c r="G79" s="47">
        <v>120236</v>
      </c>
      <c r="H79" s="47">
        <v>75396</v>
      </c>
      <c r="I79" s="48"/>
      <c r="J79" s="46">
        <v>73793</v>
      </c>
      <c r="K79" s="47">
        <v>12344</v>
      </c>
      <c r="L79" s="47">
        <v>14697</v>
      </c>
      <c r="M79" s="49">
        <v>12088</v>
      </c>
      <c r="N79" s="49">
        <v>11669</v>
      </c>
      <c r="O79" s="47">
        <v>13776</v>
      </c>
      <c r="P79" s="47" t="s">
        <v>19</v>
      </c>
      <c r="Q79" s="47">
        <v>9219</v>
      </c>
      <c r="R79" s="74" t="s">
        <v>19</v>
      </c>
      <c r="S79" s="50">
        <f>(G79/F79)*100</f>
        <v>4.9252443144183298</v>
      </c>
      <c r="T79" s="51">
        <f>(H79/G79)*100</f>
        <v>62.706676868824637</v>
      </c>
      <c r="U79" s="51"/>
      <c r="V79" s="73"/>
      <c r="W79" s="53" t="s">
        <v>349</v>
      </c>
      <c r="X79" s="54" t="s">
        <v>350</v>
      </c>
      <c r="Y79" s="54" t="s">
        <v>351</v>
      </c>
      <c r="Z79" s="54" t="s">
        <v>352</v>
      </c>
      <c r="AA79" s="54" t="s">
        <v>353</v>
      </c>
      <c r="AB79" s="54" t="s">
        <v>354</v>
      </c>
      <c r="AC79" s="54" t="s">
        <v>355</v>
      </c>
      <c r="AD79" s="54" t="s">
        <v>356</v>
      </c>
      <c r="AE79" s="54" t="s">
        <v>357</v>
      </c>
      <c r="AF79" s="55" t="s">
        <v>358</v>
      </c>
    </row>
    <row r="80" spans="1:32" s="21" customFormat="1" x14ac:dyDescent="0.25">
      <c r="A80" s="41"/>
      <c r="B80" s="42" t="s">
        <v>17</v>
      </c>
      <c r="C80" s="43"/>
      <c r="D80" s="44">
        <v>6</v>
      </c>
      <c r="E80" s="45" t="s">
        <v>24</v>
      </c>
      <c r="F80" s="46">
        <v>3447308</v>
      </c>
      <c r="G80" s="47">
        <v>845463</v>
      </c>
      <c r="H80" s="47">
        <v>584610</v>
      </c>
      <c r="I80" s="48"/>
      <c r="J80" s="46">
        <v>581735</v>
      </c>
      <c r="K80" s="47">
        <v>137854</v>
      </c>
      <c r="L80" s="47">
        <v>70457</v>
      </c>
      <c r="M80" s="49">
        <v>33520</v>
      </c>
      <c r="N80" s="47">
        <v>123485</v>
      </c>
      <c r="O80" s="47" t="s">
        <v>19</v>
      </c>
      <c r="P80" s="47">
        <v>134718</v>
      </c>
      <c r="Q80" s="47" t="s">
        <v>19</v>
      </c>
      <c r="R80" s="74">
        <v>81701</v>
      </c>
      <c r="S80" s="50">
        <f>(G80/F80)*100</f>
        <v>24.525310764225303</v>
      </c>
      <c r="T80" s="51">
        <f>(H80/G80)*100</f>
        <v>69.146727887559834</v>
      </c>
      <c r="U80" s="51"/>
      <c r="V80" s="73"/>
      <c r="W80" s="53"/>
      <c r="X80" s="54"/>
      <c r="Y80" s="54"/>
      <c r="Z80" s="54"/>
      <c r="AA80" s="54"/>
      <c r="AB80" s="54"/>
      <c r="AC80" s="54"/>
      <c r="AD80" s="54"/>
      <c r="AE80" s="54"/>
      <c r="AF80" s="55"/>
    </row>
    <row r="81" spans="1:32" s="21" customFormat="1" x14ac:dyDescent="0.25">
      <c r="A81" s="41"/>
      <c r="B81" s="42" t="s">
        <v>29</v>
      </c>
      <c r="C81" s="43"/>
      <c r="D81" s="44"/>
      <c r="E81" s="45"/>
      <c r="F81" s="46"/>
      <c r="G81" s="47"/>
      <c r="H81" s="47">
        <v>660006</v>
      </c>
      <c r="I81" s="48">
        <v>656548</v>
      </c>
      <c r="J81" s="46">
        <v>655523</v>
      </c>
      <c r="K81" s="47">
        <v>150198</v>
      </c>
      <c r="L81" s="47">
        <v>85154</v>
      </c>
      <c r="M81" s="49">
        <v>45608</v>
      </c>
      <c r="N81" s="47">
        <v>135150</v>
      </c>
      <c r="O81" s="47">
        <v>13776</v>
      </c>
      <c r="P81" s="47">
        <v>134717</v>
      </c>
      <c r="Q81" s="47">
        <v>9219</v>
      </c>
      <c r="R81" s="74">
        <v>81701</v>
      </c>
      <c r="S81" s="50"/>
      <c r="T81" s="51"/>
      <c r="U81" s="51">
        <f t="shared" ref="U81" si="27">(I81/H81)*100</f>
        <v>99.476065369102713</v>
      </c>
      <c r="V81" s="73">
        <f>(I81/(F79+F80))*100</f>
        <v>11.149613477190476</v>
      </c>
      <c r="W81" s="53"/>
      <c r="X81" s="54"/>
      <c r="Y81" s="54"/>
      <c r="Z81" s="54"/>
      <c r="AA81" s="54"/>
      <c r="AB81" s="54"/>
      <c r="AC81" s="54"/>
      <c r="AD81" s="54"/>
      <c r="AE81" s="54"/>
      <c r="AF81" s="55"/>
    </row>
    <row r="82" spans="1:32" s="21" customFormat="1" x14ac:dyDescent="0.25">
      <c r="A82" s="26">
        <v>20110619</v>
      </c>
      <c r="B82" s="27" t="s">
        <v>14</v>
      </c>
      <c r="C82" s="28" t="s">
        <v>36</v>
      </c>
      <c r="D82" s="29">
        <v>1</v>
      </c>
      <c r="E82" s="30" t="s">
        <v>25</v>
      </c>
      <c r="F82" s="31">
        <f>4000000+922481</f>
        <v>4922481</v>
      </c>
      <c r="G82" s="32">
        <f>563987+97572</f>
        <v>661559</v>
      </c>
      <c r="H82" s="32">
        <f>327882+56203</f>
        <v>384085</v>
      </c>
      <c r="I82" s="33"/>
      <c r="J82" s="31">
        <v>371455</v>
      </c>
      <c r="K82" s="32">
        <v>72928</v>
      </c>
      <c r="L82" s="32">
        <v>61253</v>
      </c>
      <c r="M82" s="34">
        <v>72010</v>
      </c>
      <c r="N82" s="32">
        <v>49739</v>
      </c>
      <c r="O82" s="32">
        <v>64639</v>
      </c>
      <c r="P82" s="32" t="s">
        <v>19</v>
      </c>
      <c r="Q82" s="32">
        <v>50884</v>
      </c>
      <c r="R82" s="33" t="s">
        <v>19</v>
      </c>
      <c r="S82" s="35">
        <f>(G82/F82)*100</f>
        <v>13.439544002302902</v>
      </c>
      <c r="T82" s="36">
        <f>(H82/G82)*100</f>
        <v>58.057557980467358</v>
      </c>
      <c r="U82" s="36"/>
      <c r="V82" s="71"/>
      <c r="W82" s="38" t="s">
        <v>379</v>
      </c>
      <c r="X82" s="39" t="s">
        <v>380</v>
      </c>
      <c r="Y82" s="39" t="s">
        <v>381</v>
      </c>
      <c r="Z82" s="39" t="s">
        <v>382</v>
      </c>
      <c r="AA82" s="39" t="s">
        <v>383</v>
      </c>
      <c r="AB82" s="39" t="s">
        <v>384</v>
      </c>
      <c r="AC82" s="39" t="s">
        <v>385</v>
      </c>
      <c r="AD82" s="39" t="s">
        <v>386</v>
      </c>
      <c r="AE82" s="39" t="s">
        <v>387</v>
      </c>
      <c r="AF82" s="40" t="s">
        <v>388</v>
      </c>
    </row>
    <row r="83" spans="1:32" s="21" customFormat="1" x14ac:dyDescent="0.25">
      <c r="A83" s="26"/>
      <c r="B83" s="27" t="s">
        <v>17</v>
      </c>
      <c r="C83" s="28"/>
      <c r="D83" s="29">
        <v>1</v>
      </c>
      <c r="E83" s="30" t="s">
        <v>26</v>
      </c>
      <c r="F83" s="31">
        <v>2448394</v>
      </c>
      <c r="G83" s="32">
        <v>151521</v>
      </c>
      <c r="H83" s="32">
        <v>83550</v>
      </c>
      <c r="I83" s="33"/>
      <c r="J83" s="31">
        <v>80423</v>
      </c>
      <c r="K83" s="32">
        <v>17971</v>
      </c>
      <c r="L83" s="32">
        <v>7058</v>
      </c>
      <c r="M83" s="34">
        <v>2663</v>
      </c>
      <c r="N83" s="32">
        <v>20305</v>
      </c>
      <c r="O83" s="32" t="s">
        <v>19</v>
      </c>
      <c r="P83" s="32">
        <v>21298</v>
      </c>
      <c r="Q83" s="32" t="s">
        <v>19</v>
      </c>
      <c r="R83" s="33">
        <v>11127</v>
      </c>
      <c r="S83" s="35">
        <f>(G83/F83)*100</f>
        <v>6.1885872943652043</v>
      </c>
      <c r="T83" s="36">
        <f>(H83/G83)*100</f>
        <v>55.140871562357695</v>
      </c>
      <c r="U83" s="36"/>
      <c r="V83" s="71"/>
      <c r="W83" s="38"/>
      <c r="X83" s="39"/>
      <c r="Y83" s="39"/>
      <c r="Z83" s="39"/>
      <c r="AA83" s="39"/>
      <c r="AB83" s="39"/>
      <c r="AC83" s="39"/>
      <c r="AD83" s="39"/>
      <c r="AE83" s="39"/>
      <c r="AF83" s="40"/>
    </row>
    <row r="84" spans="1:32" s="21" customFormat="1" x14ac:dyDescent="0.25">
      <c r="A84" s="26"/>
      <c r="B84" s="27" t="s">
        <v>29</v>
      </c>
      <c r="C84" s="28"/>
      <c r="D84" s="29"/>
      <c r="E84" s="30"/>
      <c r="F84" s="31"/>
      <c r="G84" s="32"/>
      <c r="H84" s="32">
        <v>467635</v>
      </c>
      <c r="I84" s="33">
        <v>462132</v>
      </c>
      <c r="J84" s="31">
        <v>451878</v>
      </c>
      <c r="K84" s="32">
        <v>90899</v>
      </c>
      <c r="L84" s="32">
        <v>68311</v>
      </c>
      <c r="M84" s="34">
        <v>74673</v>
      </c>
      <c r="N84" s="32">
        <v>70044</v>
      </c>
      <c r="O84" s="32">
        <v>64639</v>
      </c>
      <c r="P84" s="32">
        <v>21300</v>
      </c>
      <c r="Q84" s="32">
        <v>50885</v>
      </c>
      <c r="R84" s="33">
        <v>11127</v>
      </c>
      <c r="S84" s="35"/>
      <c r="T84" s="36"/>
      <c r="U84" s="36">
        <f t="shared" ref="U84" si="28">(I84/H84)*100</f>
        <v>98.823227517187547</v>
      </c>
      <c r="V84" s="71">
        <f>(I84/(F82+F83))*100</f>
        <v>6.2697033934234394</v>
      </c>
      <c r="W84" s="38"/>
      <c r="X84" s="39"/>
      <c r="Y84" s="39"/>
      <c r="Z84" s="39"/>
      <c r="AA84" s="39"/>
      <c r="AB84" s="39"/>
      <c r="AC84" s="39"/>
      <c r="AD84" s="39"/>
      <c r="AE84" s="39"/>
      <c r="AF84" s="40"/>
    </row>
    <row r="85" spans="1:32" s="21" customFormat="1" x14ac:dyDescent="0.25">
      <c r="A85" s="41">
        <v>20110402</v>
      </c>
      <c r="B85" s="42" t="s">
        <v>14</v>
      </c>
      <c r="C85" s="43" t="s">
        <v>36</v>
      </c>
      <c r="D85" s="44">
        <v>5</v>
      </c>
      <c r="E85" s="45" t="s">
        <v>23</v>
      </c>
      <c r="F85" s="46">
        <v>1446951</v>
      </c>
      <c r="G85" s="47">
        <v>150942</v>
      </c>
      <c r="H85" s="47">
        <v>96619</v>
      </c>
      <c r="I85" s="48"/>
      <c r="J85" s="46">
        <v>94668</v>
      </c>
      <c r="K85" s="47">
        <v>16600</v>
      </c>
      <c r="L85" s="47">
        <v>10968</v>
      </c>
      <c r="M85" s="49">
        <v>15368</v>
      </c>
      <c r="N85" s="47">
        <v>20021</v>
      </c>
      <c r="O85" s="47">
        <v>17178</v>
      </c>
      <c r="P85" s="47" t="s">
        <v>19</v>
      </c>
      <c r="Q85" s="47">
        <v>14533</v>
      </c>
      <c r="R85" s="48" t="s">
        <v>19</v>
      </c>
      <c r="S85" s="50">
        <f>(G85/F85)*100</f>
        <v>10.431728510502429</v>
      </c>
      <c r="T85" s="51">
        <f>(H85/G85)*100</f>
        <v>64.010679598786297</v>
      </c>
      <c r="U85" s="51"/>
      <c r="V85" s="73"/>
      <c r="W85" s="53" t="s">
        <v>359</v>
      </c>
      <c r="X85" s="54" t="s">
        <v>360</v>
      </c>
      <c r="Y85" s="54" t="s">
        <v>361</v>
      </c>
      <c r="Z85" s="54" t="s">
        <v>362</v>
      </c>
      <c r="AA85" s="54" t="s">
        <v>363</v>
      </c>
      <c r="AB85" s="54" t="s">
        <v>364</v>
      </c>
      <c r="AC85" s="54" t="s">
        <v>365</v>
      </c>
      <c r="AD85" s="54" t="s">
        <v>366</v>
      </c>
      <c r="AE85" s="54" t="s">
        <v>367</v>
      </c>
      <c r="AF85" s="55" t="s">
        <v>368</v>
      </c>
    </row>
    <row r="86" spans="1:32" s="21" customFormat="1" x14ac:dyDescent="0.25">
      <c r="A86" s="41"/>
      <c r="B86" s="42" t="s">
        <v>17</v>
      </c>
      <c r="C86" s="43"/>
      <c r="D86" s="44">
        <v>5</v>
      </c>
      <c r="E86" s="45" t="s">
        <v>24</v>
      </c>
      <c r="F86" s="46">
        <v>1882734</v>
      </c>
      <c r="G86" s="47">
        <v>105591</v>
      </c>
      <c r="H86" s="47">
        <v>70505</v>
      </c>
      <c r="I86" s="48"/>
      <c r="J86" s="46">
        <v>68301</v>
      </c>
      <c r="K86" s="47">
        <v>15313</v>
      </c>
      <c r="L86" s="47">
        <v>5941</v>
      </c>
      <c r="M86" s="49">
        <v>255</v>
      </c>
      <c r="N86" s="47">
        <v>19415</v>
      </c>
      <c r="O86" s="47" t="s">
        <v>19</v>
      </c>
      <c r="P86" s="47">
        <v>17032</v>
      </c>
      <c r="Q86" s="47" t="s">
        <v>19</v>
      </c>
      <c r="R86" s="48">
        <v>10345</v>
      </c>
      <c r="S86" s="50">
        <f>(G86/F86)*100</f>
        <v>5.6083865272523896</v>
      </c>
      <c r="T86" s="51">
        <f>(H86/G86)*100</f>
        <v>66.771789262342423</v>
      </c>
      <c r="U86" s="51"/>
      <c r="V86" s="73"/>
      <c r="W86" s="53"/>
      <c r="X86" s="54"/>
      <c r="Y86" s="54"/>
      <c r="Z86" s="54"/>
      <c r="AA86" s="54"/>
      <c r="AB86" s="54"/>
      <c r="AC86" s="54"/>
      <c r="AD86" s="54"/>
      <c r="AE86" s="54"/>
      <c r="AF86" s="55"/>
    </row>
    <row r="87" spans="1:32" s="21" customFormat="1" x14ac:dyDescent="0.25">
      <c r="A87" s="41"/>
      <c r="B87" s="42" t="s">
        <v>29</v>
      </c>
      <c r="C87" s="43"/>
      <c r="D87" s="44"/>
      <c r="E87" s="45"/>
      <c r="F87" s="46"/>
      <c r="G87" s="47"/>
      <c r="H87" s="47">
        <v>167124</v>
      </c>
      <c r="I87" s="48">
        <v>163761</v>
      </c>
      <c r="J87" s="46">
        <v>162969</v>
      </c>
      <c r="K87" s="47">
        <v>31913</v>
      </c>
      <c r="L87" s="47">
        <v>16909</v>
      </c>
      <c r="M87" s="49">
        <v>15623</v>
      </c>
      <c r="N87" s="47">
        <v>39436</v>
      </c>
      <c r="O87" s="47">
        <v>17178</v>
      </c>
      <c r="P87" s="47">
        <v>17032</v>
      </c>
      <c r="Q87" s="47">
        <v>14533</v>
      </c>
      <c r="R87" s="48">
        <v>10345</v>
      </c>
      <c r="S87" s="50"/>
      <c r="T87" s="51"/>
      <c r="U87" s="51">
        <f t="shared" ref="U87" si="29">(I87/H87)*100</f>
        <v>97.987721691678033</v>
      </c>
      <c r="V87" s="73">
        <f>(I87/(F85+F86))*100</f>
        <v>4.9182129841111095</v>
      </c>
      <c r="W87" s="53"/>
      <c r="X87" s="54"/>
      <c r="Y87" s="54"/>
      <c r="Z87" s="54"/>
      <c r="AA87" s="54"/>
      <c r="AB87" s="54"/>
      <c r="AC87" s="54"/>
      <c r="AD87" s="54"/>
      <c r="AE87" s="54"/>
      <c r="AF87" s="55"/>
    </row>
    <row r="88" spans="1:32" s="21" customFormat="1" x14ac:dyDescent="0.25">
      <c r="A88" s="26">
        <v>20110602</v>
      </c>
      <c r="B88" s="27" t="s">
        <v>14</v>
      </c>
      <c r="C88" s="28" t="s">
        <v>36</v>
      </c>
      <c r="D88" s="29">
        <v>2</v>
      </c>
      <c r="E88" s="30" t="s">
        <v>25</v>
      </c>
      <c r="F88" s="31">
        <v>3029968</v>
      </c>
      <c r="G88" s="32">
        <v>234368</v>
      </c>
      <c r="H88" s="32">
        <v>146039</v>
      </c>
      <c r="I88" s="33"/>
      <c r="J88" s="31">
        <v>141378</v>
      </c>
      <c r="K88" s="32">
        <v>26903</v>
      </c>
      <c r="L88" s="32">
        <v>23140</v>
      </c>
      <c r="M88" s="34">
        <v>27552</v>
      </c>
      <c r="N88" s="32">
        <v>22347</v>
      </c>
      <c r="O88" s="32">
        <v>24307</v>
      </c>
      <c r="P88" s="32" t="s">
        <v>19</v>
      </c>
      <c r="Q88" s="32">
        <v>17128</v>
      </c>
      <c r="R88" s="33" t="s">
        <v>19</v>
      </c>
      <c r="S88" s="35">
        <f>(G88/F88)*100</f>
        <v>7.734999181509508</v>
      </c>
      <c r="T88" s="36">
        <f>(H88/G88)*100</f>
        <v>62.31183438012016</v>
      </c>
      <c r="U88" s="36"/>
      <c r="V88" s="71"/>
      <c r="W88" s="38" t="s">
        <v>369</v>
      </c>
      <c r="X88" s="39" t="s">
        <v>370</v>
      </c>
      <c r="Y88" s="39" t="s">
        <v>371</v>
      </c>
      <c r="Z88" s="39" t="s">
        <v>372</v>
      </c>
      <c r="AA88" s="39" t="s">
        <v>373</v>
      </c>
      <c r="AB88" s="39" t="s">
        <v>374</v>
      </c>
      <c r="AC88" s="39" t="s">
        <v>375</v>
      </c>
      <c r="AD88" s="39" t="s">
        <v>376</v>
      </c>
      <c r="AE88" s="39" t="s">
        <v>377</v>
      </c>
      <c r="AF88" s="40" t="s">
        <v>378</v>
      </c>
    </row>
    <row r="89" spans="1:32" s="21" customFormat="1" x14ac:dyDescent="0.25">
      <c r="A89" s="26"/>
      <c r="B89" s="27" t="s">
        <v>17</v>
      </c>
      <c r="C89" s="28"/>
      <c r="D89" s="29">
        <v>2</v>
      </c>
      <c r="E89" s="30" t="s">
        <v>26</v>
      </c>
      <c r="F89" s="31">
        <v>2554264</v>
      </c>
      <c r="G89" s="32">
        <v>1902996</v>
      </c>
      <c r="H89" s="32">
        <v>1340499</v>
      </c>
      <c r="I89" s="33"/>
      <c r="J89" s="31">
        <v>1329467</v>
      </c>
      <c r="K89" s="32">
        <v>340022</v>
      </c>
      <c r="L89" s="32">
        <v>141209</v>
      </c>
      <c r="M89" s="34">
        <v>1842</v>
      </c>
      <c r="N89" s="32">
        <v>308228</v>
      </c>
      <c r="O89" s="32" t="s">
        <v>19</v>
      </c>
      <c r="P89" s="32">
        <v>358424</v>
      </c>
      <c r="Q89" s="32" t="s">
        <v>19</v>
      </c>
      <c r="R89" s="33">
        <v>179742</v>
      </c>
      <c r="S89" s="35">
        <f>(G89/F89)*100</f>
        <v>74.502713893317221</v>
      </c>
      <c r="T89" s="36">
        <f>(H89/G89)*100</f>
        <v>70.441503818189844</v>
      </c>
      <c r="U89" s="36"/>
      <c r="V89" s="71"/>
      <c r="W89" s="38"/>
      <c r="X89" s="39"/>
      <c r="Y89" s="39"/>
      <c r="Z89" s="39"/>
      <c r="AA89" s="39"/>
      <c r="AB89" s="39"/>
      <c r="AC89" s="39"/>
      <c r="AD89" s="39"/>
      <c r="AE89" s="39"/>
      <c r="AF89" s="40"/>
    </row>
    <row r="90" spans="1:32" s="21" customFormat="1" x14ac:dyDescent="0.25">
      <c r="A90" s="26"/>
      <c r="B90" s="27" t="s">
        <v>29</v>
      </c>
      <c r="C90" s="28"/>
      <c r="D90" s="29"/>
      <c r="E90" s="30"/>
      <c r="F90" s="31"/>
      <c r="G90" s="32"/>
      <c r="H90" s="32">
        <v>1486538</v>
      </c>
      <c r="I90" s="33">
        <v>1483081</v>
      </c>
      <c r="J90" s="31">
        <v>1470807</v>
      </c>
      <c r="K90" s="32">
        <v>366924</v>
      </c>
      <c r="L90" s="32">
        <v>164349</v>
      </c>
      <c r="M90" s="34">
        <v>29394</v>
      </c>
      <c r="N90" s="32">
        <v>330550</v>
      </c>
      <c r="O90" s="32">
        <v>24307</v>
      </c>
      <c r="P90" s="32">
        <v>358415</v>
      </c>
      <c r="Q90" s="32">
        <v>17128</v>
      </c>
      <c r="R90" s="33">
        <v>179740</v>
      </c>
      <c r="S90" s="35"/>
      <c r="T90" s="36"/>
      <c r="U90" s="36">
        <f t="shared" ref="U90" si="30">(I90/H90)*100</f>
        <v>99.767446240862995</v>
      </c>
      <c r="V90" s="71">
        <f>(I90/(F88+F89))*100</f>
        <v>26.558370067719249</v>
      </c>
      <c r="W90" s="38"/>
      <c r="X90" s="39"/>
      <c r="Y90" s="39"/>
      <c r="Z90" s="39"/>
      <c r="AA90" s="39"/>
      <c r="AB90" s="39"/>
      <c r="AC90" s="39"/>
      <c r="AD90" s="39"/>
      <c r="AE90" s="39"/>
      <c r="AF90" s="40"/>
    </row>
    <row r="91" spans="1:32" s="21" customFormat="1" x14ac:dyDescent="0.25">
      <c r="A91" s="41">
        <v>20110891</v>
      </c>
      <c r="B91" s="42" t="s">
        <v>14</v>
      </c>
      <c r="C91" s="43" t="s">
        <v>33</v>
      </c>
      <c r="D91" s="44">
        <v>6</v>
      </c>
      <c r="E91" s="45" t="s">
        <v>34</v>
      </c>
      <c r="F91" s="46">
        <v>1427385</v>
      </c>
      <c r="G91" s="47">
        <v>1312874</v>
      </c>
      <c r="H91" s="47">
        <v>1034544</v>
      </c>
      <c r="I91" s="48"/>
      <c r="J91" s="46">
        <v>1029197</v>
      </c>
      <c r="K91" s="47">
        <v>124</v>
      </c>
      <c r="L91" s="47" t="s">
        <v>20</v>
      </c>
      <c r="M91" s="49">
        <v>167610</v>
      </c>
      <c r="N91" s="47">
        <v>340435</v>
      </c>
      <c r="O91" s="47">
        <v>221649</v>
      </c>
      <c r="P91" s="47" t="s">
        <v>19</v>
      </c>
      <c r="Q91" s="47">
        <v>299294</v>
      </c>
      <c r="R91" s="48" t="s">
        <v>19</v>
      </c>
      <c r="S91" s="50">
        <f>(G91/F91)*100</f>
        <v>91.977567369700537</v>
      </c>
      <c r="T91" s="51">
        <f>(H91/G91)*100</f>
        <v>78.799945767834529</v>
      </c>
      <c r="U91" s="51"/>
      <c r="V91" s="73"/>
      <c r="W91" s="53"/>
      <c r="X91" s="54"/>
      <c r="Y91" s="54"/>
      <c r="Z91" s="54"/>
      <c r="AA91" s="54"/>
      <c r="AB91" s="54"/>
      <c r="AC91" s="54"/>
      <c r="AD91" s="54"/>
      <c r="AE91" s="54"/>
      <c r="AF91" s="55"/>
    </row>
    <row r="92" spans="1:32" s="21" customFormat="1" x14ac:dyDescent="0.25">
      <c r="A92" s="41"/>
      <c r="B92" s="42" t="s">
        <v>17</v>
      </c>
      <c r="C92" s="43"/>
      <c r="D92" s="44">
        <v>6</v>
      </c>
      <c r="E92" s="45" t="s">
        <v>35</v>
      </c>
      <c r="F92" s="46">
        <v>1151995</v>
      </c>
      <c r="G92" s="47">
        <v>1053567</v>
      </c>
      <c r="H92" s="47">
        <v>898997</v>
      </c>
      <c r="I92" s="48"/>
      <c r="J92" s="46">
        <v>888696</v>
      </c>
      <c r="K92" s="47">
        <v>7947</v>
      </c>
      <c r="L92" s="47" t="s">
        <v>20</v>
      </c>
      <c r="M92" s="49">
        <v>10765</v>
      </c>
      <c r="N92" s="47">
        <v>481645</v>
      </c>
      <c r="O92" s="47" t="s">
        <v>19</v>
      </c>
      <c r="P92" s="47">
        <v>74853</v>
      </c>
      <c r="Q92" s="47" t="s">
        <v>19</v>
      </c>
      <c r="R92" s="48">
        <v>313437</v>
      </c>
      <c r="S92" s="50">
        <f>(G92/F92)*100</f>
        <v>91.455865693861512</v>
      </c>
      <c r="T92" s="51">
        <f>(H92/G92)*100</f>
        <v>85.328887484137212</v>
      </c>
      <c r="U92" s="51"/>
      <c r="V92" s="73"/>
      <c r="W92" s="53"/>
      <c r="X92" s="54"/>
      <c r="Y92" s="54"/>
      <c r="Z92" s="54"/>
      <c r="AA92" s="54"/>
      <c r="AB92" s="54"/>
      <c r="AC92" s="54"/>
      <c r="AD92" s="54"/>
      <c r="AE92" s="54"/>
      <c r="AF92" s="55"/>
    </row>
    <row r="93" spans="1:32" s="21" customFormat="1" x14ac:dyDescent="0.25">
      <c r="A93" s="41"/>
      <c r="B93" s="42" t="s">
        <v>29</v>
      </c>
      <c r="C93" s="43"/>
      <c r="D93" s="44"/>
      <c r="E93" s="45"/>
      <c r="F93" s="46"/>
      <c r="G93" s="47"/>
      <c r="H93" s="47">
        <v>1933541</v>
      </c>
      <c r="I93" s="48">
        <v>1933476</v>
      </c>
      <c r="J93" s="46">
        <v>1917892</v>
      </c>
      <c r="K93" s="47">
        <v>8071</v>
      </c>
      <c r="L93" s="47"/>
      <c r="M93" s="49">
        <v>178375</v>
      </c>
      <c r="N93" s="47">
        <v>822079</v>
      </c>
      <c r="O93" s="47">
        <v>221651</v>
      </c>
      <c r="P93" s="47">
        <v>74853</v>
      </c>
      <c r="Q93" s="47">
        <v>299294</v>
      </c>
      <c r="R93" s="48">
        <v>313438</v>
      </c>
      <c r="S93" s="50"/>
      <c r="T93" s="51"/>
      <c r="U93" s="51">
        <f t="shared" ref="U93" si="31">(I93/H93)*100</f>
        <v>99.996638292128281</v>
      </c>
      <c r="V93" s="73">
        <f>(I93/(F91+F92))*100</f>
        <v>74.958943622110738</v>
      </c>
      <c r="W93" s="53"/>
      <c r="X93" s="54"/>
      <c r="Y93" s="54"/>
      <c r="Z93" s="54"/>
      <c r="AA93" s="54"/>
      <c r="AB93" s="54"/>
      <c r="AC93" s="54"/>
      <c r="AD93" s="54"/>
      <c r="AE93" s="54"/>
      <c r="AF93" s="55"/>
    </row>
    <row r="94" spans="1:32" s="21" customFormat="1" x14ac:dyDescent="0.25">
      <c r="A94" s="26">
        <v>20111053</v>
      </c>
      <c r="B94" s="27" t="s">
        <v>14</v>
      </c>
      <c r="C94" s="28" t="s">
        <v>33</v>
      </c>
      <c r="D94" s="29">
        <v>2</v>
      </c>
      <c r="E94" s="30" t="s">
        <v>34</v>
      </c>
      <c r="F94" s="31">
        <v>1474253</v>
      </c>
      <c r="G94" s="32">
        <v>1158894</v>
      </c>
      <c r="H94" s="32">
        <v>884594</v>
      </c>
      <c r="I94" s="33"/>
      <c r="J94" s="31">
        <v>881807</v>
      </c>
      <c r="K94" s="32">
        <v>162583</v>
      </c>
      <c r="L94" s="32">
        <v>239554</v>
      </c>
      <c r="M94" s="34">
        <v>116587</v>
      </c>
      <c r="N94" s="32">
        <v>104483</v>
      </c>
      <c r="O94" s="32">
        <v>151363</v>
      </c>
      <c r="P94" s="32" t="s">
        <v>19</v>
      </c>
      <c r="Q94" s="32">
        <v>107237</v>
      </c>
      <c r="R94" s="33" t="s">
        <v>19</v>
      </c>
      <c r="S94" s="35">
        <f>(G94/F94)*100</f>
        <v>78.608895488087867</v>
      </c>
      <c r="T94" s="36">
        <f>(H94/G94)*100</f>
        <v>76.330880995155724</v>
      </c>
      <c r="U94" s="36"/>
      <c r="V94" s="71"/>
      <c r="W94" s="38"/>
      <c r="X94" s="39"/>
      <c r="Y94" s="39"/>
      <c r="Z94" s="39"/>
      <c r="AA94" s="39"/>
      <c r="AB94" s="39"/>
      <c r="AC94" s="39"/>
      <c r="AD94" s="39"/>
      <c r="AE94" s="39"/>
      <c r="AF94" s="40"/>
    </row>
    <row r="95" spans="1:32" s="21" customFormat="1" x14ac:dyDescent="0.25">
      <c r="A95" s="26"/>
      <c r="B95" s="27" t="s">
        <v>17</v>
      </c>
      <c r="C95" s="28"/>
      <c r="D95" s="29">
        <v>2</v>
      </c>
      <c r="E95" s="30" t="s">
        <v>35</v>
      </c>
      <c r="F95" s="31">
        <f>4000000+444184</f>
        <v>4444184</v>
      </c>
      <c r="G95" s="32">
        <f>3125021+351271</f>
        <v>3476292</v>
      </c>
      <c r="H95" s="32">
        <f>2400052+269607</f>
        <v>2669659</v>
      </c>
      <c r="I95" s="33"/>
      <c r="J95" s="31">
        <v>2662783</v>
      </c>
      <c r="K95" s="32">
        <v>931386</v>
      </c>
      <c r="L95" s="32">
        <v>33920</v>
      </c>
      <c r="M95" s="34">
        <v>659234</v>
      </c>
      <c r="N95" s="32">
        <v>114294</v>
      </c>
      <c r="O95" s="32" t="s">
        <v>19</v>
      </c>
      <c r="P95" s="32">
        <v>907010</v>
      </c>
      <c r="Q95" s="32" t="s">
        <v>19</v>
      </c>
      <c r="R95" s="33">
        <v>16881</v>
      </c>
      <c r="S95" s="35">
        <f>(G95/F95)*100</f>
        <v>78.221153759610317</v>
      </c>
      <c r="T95" s="36">
        <f>(H95/G95)*100</f>
        <v>76.796166720171954</v>
      </c>
      <c r="U95" s="36"/>
      <c r="V95" s="71"/>
      <c r="W95" s="38" t="s">
        <v>389</v>
      </c>
      <c r="X95" s="39" t="s">
        <v>390</v>
      </c>
      <c r="Y95" s="39" t="s">
        <v>391</v>
      </c>
      <c r="Z95" s="39" t="s">
        <v>392</v>
      </c>
      <c r="AA95" s="39" t="s">
        <v>393</v>
      </c>
      <c r="AB95" s="39" t="s">
        <v>394</v>
      </c>
      <c r="AC95" s="39" t="s">
        <v>395</v>
      </c>
      <c r="AD95" s="39" t="s">
        <v>396</v>
      </c>
      <c r="AE95" s="39" t="s">
        <v>397</v>
      </c>
      <c r="AF95" s="40" t="s">
        <v>398</v>
      </c>
    </row>
    <row r="96" spans="1:32" s="21" customFormat="1" x14ac:dyDescent="0.25">
      <c r="A96" s="26"/>
      <c r="B96" s="27" t="s">
        <v>29</v>
      </c>
      <c r="C96" s="28"/>
      <c r="D96" s="29"/>
      <c r="E96" s="30"/>
      <c r="F96" s="28"/>
      <c r="G96" s="29"/>
      <c r="H96" s="32">
        <v>3554253</v>
      </c>
      <c r="I96" s="33">
        <v>3554239</v>
      </c>
      <c r="J96" s="31">
        <v>3544574</v>
      </c>
      <c r="K96" s="32">
        <v>1093966</v>
      </c>
      <c r="L96" s="32">
        <v>273474</v>
      </c>
      <c r="M96" s="34">
        <v>775820</v>
      </c>
      <c r="N96" s="32">
        <v>218777</v>
      </c>
      <c r="O96" s="32">
        <v>151400</v>
      </c>
      <c r="P96" s="32">
        <v>906998</v>
      </c>
      <c r="Q96" s="32">
        <v>107258</v>
      </c>
      <c r="R96" s="33">
        <v>16881</v>
      </c>
      <c r="S96" s="35"/>
      <c r="T96" s="36"/>
      <c r="U96" s="36">
        <f t="shared" ref="U96:U98" si="32">(I96/H96)*100</f>
        <v>99.999606105699286</v>
      </c>
      <c r="V96" s="71">
        <f>(I96/(F94+F95))*100</f>
        <v>60.053676333802322</v>
      </c>
      <c r="W96" s="38"/>
      <c r="X96" s="39"/>
      <c r="Y96" s="39"/>
      <c r="Z96" s="39"/>
      <c r="AA96" s="39"/>
      <c r="AB96" s="39"/>
      <c r="AC96" s="39"/>
      <c r="AD96" s="39"/>
      <c r="AE96" s="39"/>
      <c r="AF96" s="40"/>
    </row>
    <row r="97" spans="1:32" s="21" customFormat="1" x14ac:dyDescent="0.25">
      <c r="A97" s="41">
        <v>20111249</v>
      </c>
      <c r="B97" s="42"/>
      <c r="C97" s="43" t="s">
        <v>32</v>
      </c>
      <c r="D97" s="44">
        <v>7</v>
      </c>
      <c r="E97" s="45" t="s">
        <v>41</v>
      </c>
      <c r="F97" s="46">
        <f>4000000+3476349</f>
        <v>7476349</v>
      </c>
      <c r="G97" s="47">
        <f>3451535+3000056</f>
        <v>6451591</v>
      </c>
      <c r="H97" s="47">
        <f>2795907+2429343</f>
        <v>5225250</v>
      </c>
      <c r="I97" s="48">
        <v>5225088</v>
      </c>
      <c r="J97" s="46">
        <v>5083612</v>
      </c>
      <c r="K97" s="47">
        <v>124589</v>
      </c>
      <c r="L97" s="47">
        <v>430536</v>
      </c>
      <c r="M97" s="49">
        <v>713313</v>
      </c>
      <c r="N97" s="47">
        <v>1197430</v>
      </c>
      <c r="O97" s="47">
        <v>491041</v>
      </c>
      <c r="P97" s="47">
        <v>113158</v>
      </c>
      <c r="Q97" s="47">
        <v>602956</v>
      </c>
      <c r="R97" s="48">
        <v>1410589</v>
      </c>
      <c r="S97" s="50">
        <f t="shared" ref="S97:T100" si="33">(G97/F97)*100</f>
        <v>86.293336493521096</v>
      </c>
      <c r="T97" s="51">
        <f t="shared" si="33"/>
        <v>80.991649966651636</v>
      </c>
      <c r="U97" s="51">
        <f t="shared" si="32"/>
        <v>99.996899669872249</v>
      </c>
      <c r="V97" s="73">
        <f>(I97/F97)*100</f>
        <v>69.88823020434171</v>
      </c>
      <c r="W97" s="53" t="s">
        <v>399</v>
      </c>
      <c r="X97" s="54" t="s">
        <v>400</v>
      </c>
      <c r="Y97" s="54" t="s">
        <v>401</v>
      </c>
      <c r="Z97" s="54" t="s">
        <v>402</v>
      </c>
      <c r="AA97" s="54" t="s">
        <v>403</v>
      </c>
      <c r="AB97" s="54" t="s">
        <v>404</v>
      </c>
      <c r="AC97" s="54" t="s">
        <v>405</v>
      </c>
      <c r="AD97" s="54" t="s">
        <v>406</v>
      </c>
      <c r="AE97" s="54" t="s">
        <v>407</v>
      </c>
      <c r="AF97" s="55" t="s">
        <v>408</v>
      </c>
    </row>
    <row r="98" spans="1:32" s="21" customFormat="1" x14ac:dyDescent="0.25">
      <c r="A98" s="26">
        <v>20111347</v>
      </c>
      <c r="B98" s="27"/>
      <c r="C98" s="28" t="s">
        <v>32</v>
      </c>
      <c r="D98" s="29">
        <v>7</v>
      </c>
      <c r="E98" s="30" t="s">
        <v>38</v>
      </c>
      <c r="F98" s="31">
        <f>4000000+1579604</f>
        <v>5579604</v>
      </c>
      <c r="G98" s="32">
        <f>3434915+1355502</f>
        <v>4790417</v>
      </c>
      <c r="H98" s="32">
        <f>2874181+1136496</f>
        <v>4010677</v>
      </c>
      <c r="I98" s="33">
        <v>4010676</v>
      </c>
      <c r="J98" s="31">
        <v>4003135</v>
      </c>
      <c r="K98" s="32">
        <v>1141115</v>
      </c>
      <c r="L98" s="32">
        <v>834431</v>
      </c>
      <c r="M98" s="34">
        <v>122635</v>
      </c>
      <c r="N98" s="32">
        <v>718746</v>
      </c>
      <c r="O98" s="32">
        <v>407256</v>
      </c>
      <c r="P98" s="32">
        <v>157376</v>
      </c>
      <c r="Q98" s="32">
        <v>311279</v>
      </c>
      <c r="R98" s="33">
        <v>310297</v>
      </c>
      <c r="S98" s="35">
        <f t="shared" si="33"/>
        <v>85.85586002160727</v>
      </c>
      <c r="T98" s="36">
        <f t="shared" si="33"/>
        <v>83.72292015496771</v>
      </c>
      <c r="U98" s="36">
        <f t="shared" si="32"/>
        <v>99.999975066553603</v>
      </c>
      <c r="V98" s="71">
        <f>(I98/F98)*100</f>
        <v>71.881015211832235</v>
      </c>
      <c r="W98" s="38" t="s">
        <v>409</v>
      </c>
      <c r="X98" s="39" t="s">
        <v>410</v>
      </c>
      <c r="Y98" s="39" t="s">
        <v>411</v>
      </c>
      <c r="Z98" s="39" t="s">
        <v>412</v>
      </c>
      <c r="AA98" s="39" t="s">
        <v>413</v>
      </c>
      <c r="AB98" s="39" t="s">
        <v>414</v>
      </c>
      <c r="AC98" s="39" t="s">
        <v>415</v>
      </c>
      <c r="AD98" s="39" t="s">
        <v>416</v>
      </c>
      <c r="AE98" s="39" t="s">
        <v>417</v>
      </c>
      <c r="AF98" s="40" t="s">
        <v>418</v>
      </c>
    </row>
    <row r="99" spans="1:32" s="21" customFormat="1" x14ac:dyDescent="0.25">
      <c r="A99" s="41">
        <v>20120568</v>
      </c>
      <c r="B99" s="42" t="s">
        <v>14</v>
      </c>
      <c r="C99" s="43" t="s">
        <v>33</v>
      </c>
      <c r="D99" s="44">
        <v>1</v>
      </c>
      <c r="E99" s="45" t="s">
        <v>34</v>
      </c>
      <c r="F99" s="43">
        <v>1627674</v>
      </c>
      <c r="G99" s="44">
        <v>1443160</v>
      </c>
      <c r="H99" s="47">
        <v>1105187</v>
      </c>
      <c r="I99" s="48"/>
      <c r="J99" s="46">
        <v>1104134</v>
      </c>
      <c r="K99" s="47">
        <v>223757</v>
      </c>
      <c r="L99" s="47">
        <v>216593</v>
      </c>
      <c r="M99" s="49">
        <v>175881</v>
      </c>
      <c r="N99" s="47">
        <v>145256</v>
      </c>
      <c r="O99" s="47">
        <v>204485</v>
      </c>
      <c r="P99" s="47" t="s">
        <v>19</v>
      </c>
      <c r="Q99" s="47">
        <v>138161</v>
      </c>
      <c r="R99" s="48" t="s">
        <v>19</v>
      </c>
      <c r="S99" s="50">
        <f t="shared" si="33"/>
        <v>88.663946220189061</v>
      </c>
      <c r="T99" s="51">
        <f t="shared" si="33"/>
        <v>76.581044374844083</v>
      </c>
      <c r="U99" s="51"/>
      <c r="V99" s="73"/>
      <c r="W99" s="53" t="s">
        <v>419</v>
      </c>
      <c r="X99" s="54" t="s">
        <v>420</v>
      </c>
      <c r="Y99" s="54" t="s">
        <v>421</v>
      </c>
      <c r="Z99" s="54" t="s">
        <v>422</v>
      </c>
      <c r="AA99" s="54" t="s">
        <v>423</v>
      </c>
      <c r="AB99" s="54" t="s">
        <v>424</v>
      </c>
      <c r="AC99" s="54" t="s">
        <v>425</v>
      </c>
      <c r="AD99" s="54" t="s">
        <v>426</v>
      </c>
      <c r="AE99" s="54" t="s">
        <v>427</v>
      </c>
      <c r="AF99" s="55" t="s">
        <v>428</v>
      </c>
    </row>
    <row r="100" spans="1:32" s="21" customFormat="1" x14ac:dyDescent="0.25">
      <c r="A100" s="41"/>
      <c r="B100" s="42" t="s">
        <v>17</v>
      </c>
      <c r="C100" s="43"/>
      <c r="D100" s="44">
        <v>1</v>
      </c>
      <c r="E100" s="45" t="s">
        <v>35</v>
      </c>
      <c r="F100" s="46">
        <v>2998371</v>
      </c>
      <c r="G100" s="47">
        <v>2643147</v>
      </c>
      <c r="H100" s="47">
        <v>2011442</v>
      </c>
      <c r="I100" s="48"/>
      <c r="J100" s="46">
        <v>2010220</v>
      </c>
      <c r="K100" s="47">
        <v>255918</v>
      </c>
      <c r="L100" s="47">
        <v>27872</v>
      </c>
      <c r="M100" s="49">
        <v>190647</v>
      </c>
      <c r="N100" s="47">
        <v>812592</v>
      </c>
      <c r="O100" s="47" t="s">
        <v>19</v>
      </c>
      <c r="P100" s="47">
        <v>236268</v>
      </c>
      <c r="Q100" s="47" t="s">
        <v>19</v>
      </c>
      <c r="R100" s="48">
        <v>486910</v>
      </c>
      <c r="S100" s="50">
        <f t="shared" si="33"/>
        <v>88.152766952455181</v>
      </c>
      <c r="T100" s="51">
        <f t="shared" si="33"/>
        <v>76.100269867699382</v>
      </c>
      <c r="U100" s="51"/>
      <c r="V100" s="73"/>
      <c r="W100" s="53"/>
      <c r="X100" s="54"/>
      <c r="Y100" s="54"/>
      <c r="Z100" s="54"/>
      <c r="AA100" s="54"/>
      <c r="AB100" s="54"/>
      <c r="AC100" s="54"/>
      <c r="AD100" s="54"/>
      <c r="AE100" s="54"/>
      <c r="AF100" s="55"/>
    </row>
    <row r="101" spans="1:32" s="21" customFormat="1" x14ac:dyDescent="0.25">
      <c r="A101" s="41"/>
      <c r="B101" s="42" t="s">
        <v>29</v>
      </c>
      <c r="C101" s="43"/>
      <c r="D101" s="44"/>
      <c r="E101" s="45"/>
      <c r="F101" s="46"/>
      <c r="G101" s="47"/>
      <c r="H101" s="47">
        <v>3116629</v>
      </c>
      <c r="I101" s="48">
        <v>3116617</v>
      </c>
      <c r="J101" s="46">
        <v>3114271</v>
      </c>
      <c r="K101" s="47">
        <v>479675</v>
      </c>
      <c r="L101" s="47">
        <v>244465</v>
      </c>
      <c r="M101" s="49">
        <v>366527</v>
      </c>
      <c r="N101" s="47">
        <v>957767</v>
      </c>
      <c r="O101" s="47">
        <v>204489</v>
      </c>
      <c r="P101" s="47">
        <v>236267</v>
      </c>
      <c r="Q101" s="47">
        <v>138170</v>
      </c>
      <c r="R101" s="48">
        <v>486911</v>
      </c>
      <c r="S101" s="50"/>
      <c r="T101" s="51"/>
      <c r="U101" s="51">
        <f t="shared" ref="U101" si="34">(I101/H101)*100</f>
        <v>99.999614968608711</v>
      </c>
      <c r="V101" s="73">
        <f>(I101/(F99+F100))*100</f>
        <v>67.371091288562909</v>
      </c>
      <c r="W101" s="53"/>
      <c r="X101" s="54"/>
      <c r="Y101" s="54"/>
      <c r="Z101" s="54"/>
      <c r="AA101" s="54"/>
      <c r="AB101" s="54"/>
      <c r="AC101" s="54"/>
      <c r="AD101" s="54"/>
      <c r="AE101" s="54"/>
      <c r="AF101" s="55"/>
    </row>
    <row r="102" spans="1:32" s="21" customFormat="1" x14ac:dyDescent="0.25">
      <c r="A102" s="26">
        <v>20121119</v>
      </c>
      <c r="B102" s="27" t="s">
        <v>14</v>
      </c>
      <c r="C102" s="28" t="s">
        <v>36</v>
      </c>
      <c r="D102" s="29">
        <v>8</v>
      </c>
      <c r="E102" s="30" t="s">
        <v>25</v>
      </c>
      <c r="F102" s="31">
        <v>2814954</v>
      </c>
      <c r="G102" s="32">
        <v>85201</v>
      </c>
      <c r="H102" s="32">
        <v>51636</v>
      </c>
      <c r="I102" s="33"/>
      <c r="J102" s="31">
        <v>49086</v>
      </c>
      <c r="K102" s="32">
        <v>9078</v>
      </c>
      <c r="L102" s="32">
        <v>6946</v>
      </c>
      <c r="M102" s="32">
        <v>9845</v>
      </c>
      <c r="N102" s="32">
        <v>8546</v>
      </c>
      <c r="O102" s="32">
        <v>8215</v>
      </c>
      <c r="P102" s="32" t="s">
        <v>19</v>
      </c>
      <c r="Q102" s="32">
        <v>6456</v>
      </c>
      <c r="R102" s="33" t="s">
        <v>19</v>
      </c>
      <c r="S102" s="35">
        <f>(G102/F102)*100</f>
        <v>3.0267279678460111</v>
      </c>
      <c r="T102" s="36">
        <f>(H102/G102)*100</f>
        <v>60.604922477435707</v>
      </c>
      <c r="U102" s="36"/>
      <c r="V102" s="71"/>
      <c r="W102" s="38" t="s">
        <v>429</v>
      </c>
      <c r="X102" s="39" t="s">
        <v>430</v>
      </c>
      <c r="Y102" s="39" t="s">
        <v>431</v>
      </c>
      <c r="Z102" s="39" t="s">
        <v>432</v>
      </c>
      <c r="AA102" s="39" t="s">
        <v>433</v>
      </c>
      <c r="AB102" s="39" t="s">
        <v>434</v>
      </c>
      <c r="AC102" s="39" t="s">
        <v>435</v>
      </c>
      <c r="AD102" s="39" t="s">
        <v>436</v>
      </c>
      <c r="AE102" s="39" t="s">
        <v>437</v>
      </c>
      <c r="AF102" s="40" t="s">
        <v>438</v>
      </c>
    </row>
    <row r="103" spans="1:32" s="21" customFormat="1" x14ac:dyDescent="0.25">
      <c r="A103" s="26"/>
      <c r="B103" s="27" t="s">
        <v>17</v>
      </c>
      <c r="C103" s="28"/>
      <c r="D103" s="29">
        <v>8</v>
      </c>
      <c r="E103" s="30" t="s">
        <v>26</v>
      </c>
      <c r="F103" s="31">
        <f>4000000+154029</f>
        <v>4154029</v>
      </c>
      <c r="G103" s="32">
        <f>148846+4536</f>
        <v>153382</v>
      </c>
      <c r="H103" s="32">
        <f>94739+2896</f>
        <v>97635</v>
      </c>
      <c r="I103" s="33"/>
      <c r="J103" s="31">
        <v>95154</v>
      </c>
      <c r="K103" s="32">
        <v>20207</v>
      </c>
      <c r="L103" s="32">
        <v>7754</v>
      </c>
      <c r="M103" s="32">
        <v>2902</v>
      </c>
      <c r="N103" s="32">
        <v>25466</v>
      </c>
      <c r="O103" s="32" t="s">
        <v>19</v>
      </c>
      <c r="P103" s="32">
        <v>27198</v>
      </c>
      <c r="Q103" s="32" t="s">
        <v>19</v>
      </c>
      <c r="R103" s="33">
        <v>11627</v>
      </c>
      <c r="S103" s="35">
        <f>(G103/F103)*100</f>
        <v>3.6923670971001887</v>
      </c>
      <c r="T103" s="36">
        <f>(H103/G103)*100</f>
        <v>63.654796521104174</v>
      </c>
      <c r="U103" s="36"/>
      <c r="V103" s="71"/>
      <c r="W103" s="38"/>
      <c r="X103" s="39"/>
      <c r="Y103" s="39"/>
      <c r="Z103" s="39"/>
      <c r="AA103" s="39"/>
      <c r="AB103" s="39"/>
      <c r="AC103" s="39"/>
      <c r="AD103" s="39"/>
      <c r="AE103" s="39"/>
      <c r="AF103" s="40"/>
    </row>
    <row r="104" spans="1:32" s="21" customFormat="1" x14ac:dyDescent="0.25">
      <c r="A104" s="26"/>
      <c r="B104" s="27" t="s">
        <v>29</v>
      </c>
      <c r="C104" s="28"/>
      <c r="D104" s="29"/>
      <c r="E104" s="30"/>
      <c r="F104" s="31"/>
      <c r="G104" s="32"/>
      <c r="H104" s="32">
        <v>149271</v>
      </c>
      <c r="I104" s="33">
        <v>145314</v>
      </c>
      <c r="J104" s="31">
        <v>144237</v>
      </c>
      <c r="K104" s="32">
        <v>29285</v>
      </c>
      <c r="L104" s="32">
        <v>14700</v>
      </c>
      <c r="M104" s="32">
        <v>12747</v>
      </c>
      <c r="N104" s="32">
        <v>34010</v>
      </c>
      <c r="O104" s="32">
        <v>8215</v>
      </c>
      <c r="P104" s="32">
        <v>27197</v>
      </c>
      <c r="Q104" s="32">
        <v>6456</v>
      </c>
      <c r="R104" s="33">
        <v>11627</v>
      </c>
      <c r="S104" s="35"/>
      <c r="T104" s="36"/>
      <c r="U104" s="36">
        <f t="shared" ref="U104" si="35">(I104/H104)*100</f>
        <v>97.349116707196984</v>
      </c>
      <c r="V104" s="71">
        <f>(I104/(F102+F103))*100</f>
        <v>2.0851536013217422</v>
      </c>
      <c r="W104" s="38"/>
      <c r="X104" s="39"/>
      <c r="Y104" s="39"/>
      <c r="Z104" s="39"/>
      <c r="AA104" s="39"/>
      <c r="AB104" s="39"/>
      <c r="AC104" s="39"/>
      <c r="AD104" s="39"/>
      <c r="AE104" s="39"/>
      <c r="AF104" s="40"/>
    </row>
    <row r="105" spans="1:32" s="21" customFormat="1" x14ac:dyDescent="0.25">
      <c r="A105" s="41">
        <v>20121257</v>
      </c>
      <c r="B105" s="42" t="s">
        <v>14</v>
      </c>
      <c r="C105" s="43" t="s">
        <v>36</v>
      </c>
      <c r="D105" s="44">
        <v>6</v>
      </c>
      <c r="E105" s="45" t="s">
        <v>25</v>
      </c>
      <c r="F105" s="46">
        <v>2601417</v>
      </c>
      <c r="G105" s="47">
        <v>76374</v>
      </c>
      <c r="H105" s="47">
        <v>50502</v>
      </c>
      <c r="I105" s="48"/>
      <c r="J105" s="46">
        <v>47748</v>
      </c>
      <c r="K105" s="47">
        <v>8502</v>
      </c>
      <c r="L105" s="47">
        <v>8740</v>
      </c>
      <c r="M105" s="47">
        <v>8433</v>
      </c>
      <c r="N105" s="47">
        <v>4698</v>
      </c>
      <c r="O105" s="47">
        <v>11234</v>
      </c>
      <c r="P105" s="47" t="s">
        <v>19</v>
      </c>
      <c r="Q105" s="47">
        <v>6140</v>
      </c>
      <c r="R105" s="48" t="s">
        <v>19</v>
      </c>
      <c r="S105" s="50">
        <f>(G105/F105)*100</f>
        <v>2.9358614939473373</v>
      </c>
      <c r="T105" s="51">
        <f>(H105/G105)*100</f>
        <v>66.124597376070398</v>
      </c>
      <c r="U105" s="51"/>
      <c r="V105" s="73"/>
      <c r="W105" s="53" t="s">
        <v>439</v>
      </c>
      <c r="X105" s="54" t="s">
        <v>440</v>
      </c>
      <c r="Y105" s="54" t="s">
        <v>441</v>
      </c>
      <c r="Z105" s="54" t="s">
        <v>442</v>
      </c>
      <c r="AA105" s="54" t="s">
        <v>443</v>
      </c>
      <c r="AB105" s="54" t="s">
        <v>444</v>
      </c>
      <c r="AC105" s="54" t="s">
        <v>445</v>
      </c>
      <c r="AD105" s="54" t="s">
        <v>446</v>
      </c>
      <c r="AE105" s="54" t="s">
        <v>447</v>
      </c>
      <c r="AF105" s="55" t="s">
        <v>448</v>
      </c>
    </row>
    <row r="106" spans="1:32" s="21" customFormat="1" x14ac:dyDescent="0.25">
      <c r="A106" s="41"/>
      <c r="B106" s="42" t="s">
        <v>17</v>
      </c>
      <c r="C106" s="43"/>
      <c r="D106" s="44">
        <v>6</v>
      </c>
      <c r="E106" s="45" t="s">
        <v>26</v>
      </c>
      <c r="F106" s="46">
        <v>2817578</v>
      </c>
      <c r="G106" s="47">
        <v>400103</v>
      </c>
      <c r="H106" s="47">
        <v>270668</v>
      </c>
      <c r="I106" s="48"/>
      <c r="J106" s="46">
        <v>269004</v>
      </c>
      <c r="K106" s="47">
        <v>73556</v>
      </c>
      <c r="L106" s="47">
        <v>25158</v>
      </c>
      <c r="M106" s="47">
        <v>21981</v>
      </c>
      <c r="N106" s="47">
        <v>49895</v>
      </c>
      <c r="O106" s="47" t="s">
        <v>19</v>
      </c>
      <c r="P106" s="47">
        <v>65424</v>
      </c>
      <c r="Q106" s="47" t="s">
        <v>19</v>
      </c>
      <c r="R106" s="74">
        <v>32990</v>
      </c>
      <c r="S106" s="50">
        <f>(G106/F106)*100</f>
        <v>14.200245742974996</v>
      </c>
      <c r="T106" s="51">
        <f>(H106/G106)*100</f>
        <v>67.649580233089978</v>
      </c>
      <c r="U106" s="51"/>
      <c r="V106" s="73"/>
      <c r="W106" s="53"/>
      <c r="X106" s="54"/>
      <c r="Y106" s="54"/>
      <c r="Z106" s="54"/>
      <c r="AA106" s="54"/>
      <c r="AB106" s="54"/>
      <c r="AC106" s="54"/>
      <c r="AD106" s="54"/>
      <c r="AE106" s="54"/>
      <c r="AF106" s="55"/>
    </row>
    <row r="107" spans="1:32" s="21" customFormat="1" x14ac:dyDescent="0.25">
      <c r="A107" s="56"/>
      <c r="B107" s="57" t="s">
        <v>29</v>
      </c>
      <c r="C107" s="58"/>
      <c r="D107" s="59"/>
      <c r="E107" s="60"/>
      <c r="F107" s="61"/>
      <c r="G107" s="62"/>
      <c r="H107" s="62">
        <v>321170</v>
      </c>
      <c r="I107" s="63">
        <v>317616</v>
      </c>
      <c r="J107" s="61">
        <v>316743</v>
      </c>
      <c r="K107" s="62">
        <v>82058</v>
      </c>
      <c r="L107" s="64">
        <v>33898</v>
      </c>
      <c r="M107" s="62">
        <v>30414</v>
      </c>
      <c r="N107" s="64">
        <v>54584</v>
      </c>
      <c r="O107" s="62">
        <v>11234</v>
      </c>
      <c r="P107" s="62">
        <v>65425</v>
      </c>
      <c r="Q107" s="62">
        <v>6140</v>
      </c>
      <c r="R107" s="77">
        <v>32990</v>
      </c>
      <c r="S107" s="78"/>
      <c r="T107" s="66"/>
      <c r="U107" s="66">
        <f t="shared" ref="U107" si="36">(I107/H107)*100</f>
        <v>98.893420929725693</v>
      </c>
      <c r="V107" s="67">
        <f>(I107/(F105+F106))*100</f>
        <v>5.8611606026578729</v>
      </c>
      <c r="W107" s="68"/>
      <c r="X107" s="69"/>
      <c r="Y107" s="69"/>
      <c r="Z107" s="69"/>
      <c r="AA107" s="69"/>
      <c r="AB107" s="69"/>
      <c r="AC107" s="69"/>
      <c r="AD107" s="69"/>
      <c r="AE107" s="69"/>
      <c r="AF107" s="70"/>
    </row>
  </sheetData>
  <sheetProtection algorithmName="SHA-512" hashValue="fS6YeUeoek+HCx5te9UI61M2RzZGcPjb1jLCm7w3ejACkDPvcZF9tSXAfRV8QWlSbDGg/pN8HmE5rs1seol7Ag==" saltValue="1Zvh8A0cB9PoO/UK6Au+LQ==" spinCount="100000" sheet="1" objects="1" scenarios="1" formatCells="0" formatColumns="0" formatRows="0"/>
  <mergeCells count="5">
    <mergeCell ref="C11:E11"/>
    <mergeCell ref="F11:I11"/>
    <mergeCell ref="J11:R11"/>
    <mergeCell ref="S11:V11"/>
    <mergeCell ref="W11:AF11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X330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5.75" x14ac:dyDescent="0.25"/>
  <cols>
    <col min="1" max="1" width="15.875" customWidth="1"/>
    <col min="2" max="2" width="9.625" customWidth="1"/>
  </cols>
  <sheetData>
    <row r="1" spans="1:24" ht="21" x14ac:dyDescent="0.35">
      <c r="A1" s="9" t="s">
        <v>1091</v>
      </c>
    </row>
    <row r="2" spans="1:24" x14ac:dyDescent="0.25">
      <c r="A2" s="6"/>
    </row>
    <row r="3" spans="1:24" x14ac:dyDescent="0.25">
      <c r="A3" s="6" t="s">
        <v>1100</v>
      </c>
    </row>
    <row r="4" spans="1:24" x14ac:dyDescent="0.25">
      <c r="A4" s="87" t="s">
        <v>1134</v>
      </c>
    </row>
    <row r="5" spans="1:24" x14ac:dyDescent="0.25">
      <c r="A5" s="88" t="s">
        <v>1101</v>
      </c>
    </row>
    <row r="6" spans="1:24" x14ac:dyDescent="0.25">
      <c r="A6" s="6" t="s">
        <v>1099</v>
      </c>
    </row>
    <row r="8" spans="1:24" x14ac:dyDescent="0.25">
      <c r="A8" s="6"/>
    </row>
    <row r="9" spans="1:24" ht="21" x14ac:dyDescent="0.35">
      <c r="C9" s="165" t="s">
        <v>1088</v>
      </c>
      <c r="D9" s="167"/>
      <c r="E9" s="166" t="s">
        <v>1089</v>
      </c>
      <c r="F9" s="166"/>
      <c r="G9" s="166"/>
      <c r="H9" s="166"/>
      <c r="I9" s="166"/>
      <c r="J9" s="166"/>
      <c r="K9" s="166"/>
      <c r="L9" s="167"/>
      <c r="M9" s="165" t="s">
        <v>1090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7"/>
    </row>
    <row r="10" spans="1:24" x14ac:dyDescent="0.25">
      <c r="C10" s="172" t="s">
        <v>1085</v>
      </c>
      <c r="D10" s="171"/>
      <c r="E10" s="169" t="s">
        <v>1076</v>
      </c>
      <c r="F10" s="169"/>
      <c r="G10" s="168" t="s">
        <v>1077</v>
      </c>
      <c r="H10" s="170"/>
      <c r="I10" s="168" t="s">
        <v>1078</v>
      </c>
      <c r="J10" s="170"/>
      <c r="K10" s="169" t="s">
        <v>1079</v>
      </c>
      <c r="L10" s="171"/>
      <c r="M10" s="172" t="s">
        <v>1080</v>
      </c>
      <c r="N10" s="169"/>
      <c r="O10" s="169"/>
      <c r="P10" s="168" t="s">
        <v>1081</v>
      </c>
      <c r="Q10" s="169"/>
      <c r="R10" s="170"/>
      <c r="S10" s="168" t="s">
        <v>1082</v>
      </c>
      <c r="T10" s="169"/>
      <c r="U10" s="170"/>
      <c r="V10" s="169" t="s">
        <v>1083</v>
      </c>
      <c r="W10" s="169"/>
      <c r="X10" s="171"/>
    </row>
    <row r="11" spans="1:24" x14ac:dyDescent="0.25">
      <c r="A11" s="80" t="s">
        <v>1133</v>
      </c>
      <c r="B11" s="80" t="s">
        <v>1084</v>
      </c>
      <c r="C11" s="149" t="s">
        <v>1074</v>
      </c>
      <c r="D11" s="138" t="s">
        <v>1075</v>
      </c>
      <c r="E11" s="80" t="s">
        <v>1074</v>
      </c>
      <c r="F11" s="80" t="s">
        <v>1075</v>
      </c>
      <c r="G11" s="139" t="s">
        <v>1074</v>
      </c>
      <c r="H11" s="140" t="s">
        <v>1075</v>
      </c>
      <c r="I11" s="80" t="s">
        <v>1074</v>
      </c>
      <c r="J11" s="140" t="s">
        <v>1075</v>
      </c>
      <c r="K11" s="80" t="s">
        <v>1074</v>
      </c>
      <c r="L11" s="138" t="s">
        <v>1075</v>
      </c>
      <c r="M11" s="80" t="s">
        <v>1074</v>
      </c>
      <c r="N11" s="80" t="s">
        <v>1075</v>
      </c>
      <c r="O11" s="80" t="s">
        <v>1086</v>
      </c>
      <c r="P11" s="139" t="s">
        <v>1074</v>
      </c>
      <c r="Q11" s="141" t="s">
        <v>1075</v>
      </c>
      <c r="R11" s="140" t="s">
        <v>1086</v>
      </c>
      <c r="S11" s="80" t="s">
        <v>1074</v>
      </c>
      <c r="T11" s="80" t="s">
        <v>1075</v>
      </c>
      <c r="U11" s="140" t="s">
        <v>1086</v>
      </c>
      <c r="V11" s="80" t="s">
        <v>1074</v>
      </c>
      <c r="W11" s="80" t="s">
        <v>1075</v>
      </c>
      <c r="X11" s="138" t="s">
        <v>1086</v>
      </c>
    </row>
    <row r="12" spans="1:24" x14ac:dyDescent="0.25">
      <c r="A12" t="s">
        <v>1110</v>
      </c>
      <c r="B12">
        <v>20094785</v>
      </c>
      <c r="C12" s="103">
        <v>54078.8</v>
      </c>
      <c r="D12" s="108">
        <v>7750.6</v>
      </c>
      <c r="E12" s="99">
        <v>1.11152E-4</v>
      </c>
      <c r="F12" s="99">
        <v>1.2218099999999999E-4</v>
      </c>
      <c r="G12" s="132">
        <v>9.4767100000000003E-5</v>
      </c>
      <c r="H12" s="133">
        <v>1.0629299999999999E-4</v>
      </c>
      <c r="I12" s="99">
        <v>6.2621700000000004E-5</v>
      </c>
      <c r="J12" s="133">
        <v>7.2087200000000003E-5</v>
      </c>
      <c r="K12" s="99">
        <v>3.9073699999999998E-5</v>
      </c>
      <c r="L12" s="116">
        <v>5.1620099999999997E-5</v>
      </c>
      <c r="M12" s="2">
        <v>12</v>
      </c>
      <c r="N12" s="2">
        <v>5</v>
      </c>
      <c r="O12" s="2">
        <v>50</v>
      </c>
      <c r="P12" s="126">
        <v>3</v>
      </c>
      <c r="Q12" s="106">
        <v>4</v>
      </c>
      <c r="R12" s="127">
        <v>28</v>
      </c>
      <c r="S12" s="2">
        <v>3</v>
      </c>
      <c r="T12" s="2">
        <v>2</v>
      </c>
      <c r="U12" s="127">
        <v>10</v>
      </c>
      <c r="V12" s="2">
        <v>0</v>
      </c>
      <c r="W12" s="2">
        <v>0</v>
      </c>
      <c r="X12" s="109">
        <v>5</v>
      </c>
    </row>
    <row r="13" spans="1:24" x14ac:dyDescent="0.25">
      <c r="B13">
        <v>20095121</v>
      </c>
      <c r="C13" s="103">
        <v>1795.8</v>
      </c>
      <c r="D13" s="108">
        <v>1779.7</v>
      </c>
      <c r="E13" s="99">
        <v>5.0220199999999999E-4</v>
      </c>
      <c r="F13" s="99">
        <v>5.31867E-4</v>
      </c>
      <c r="G13" s="132">
        <v>4.9634600000000005E-4</v>
      </c>
      <c r="H13" s="133">
        <v>5.1487699999999996E-4</v>
      </c>
      <c r="I13" s="99">
        <v>4.8560900000000002E-4</v>
      </c>
      <c r="J13" s="133">
        <v>4.98133E-4</v>
      </c>
      <c r="K13" s="99">
        <v>4.6803900000000001E-4</v>
      </c>
      <c r="L13" s="116">
        <v>4.7941900000000003E-4</v>
      </c>
      <c r="M13" s="2">
        <v>0</v>
      </c>
      <c r="N13" s="2">
        <v>19</v>
      </c>
      <c r="O13" s="2">
        <v>32</v>
      </c>
      <c r="P13" s="126">
        <v>0</v>
      </c>
      <c r="Q13" s="106">
        <v>10</v>
      </c>
      <c r="R13" s="127">
        <v>29</v>
      </c>
      <c r="S13" s="2">
        <v>1</v>
      </c>
      <c r="T13" s="2">
        <v>6</v>
      </c>
      <c r="U13" s="127">
        <v>24</v>
      </c>
      <c r="V13" s="2">
        <v>1</v>
      </c>
      <c r="W13" s="2">
        <v>2</v>
      </c>
      <c r="X13" s="109">
        <v>18</v>
      </c>
    </row>
    <row r="14" spans="1:24" x14ac:dyDescent="0.25">
      <c r="B14">
        <v>20095236</v>
      </c>
      <c r="C14" s="103">
        <v>3589.1</v>
      </c>
      <c r="D14" s="108">
        <v>3477</v>
      </c>
      <c r="E14" s="99">
        <v>4.4027999999999998E-4</v>
      </c>
      <c r="F14" s="99">
        <v>4.4464E-4</v>
      </c>
      <c r="G14" s="132">
        <v>4.2599400000000001E-4</v>
      </c>
      <c r="H14" s="133">
        <v>4.1502200000000003E-4</v>
      </c>
      <c r="I14" s="99">
        <v>4.1524999999999998E-4</v>
      </c>
      <c r="J14" s="133">
        <v>3.9800799999999999E-4</v>
      </c>
      <c r="K14" s="99">
        <v>3.8216200000000002E-4</v>
      </c>
      <c r="L14" s="116">
        <v>3.6587000000000002E-4</v>
      </c>
      <c r="M14" s="2">
        <v>1</v>
      </c>
      <c r="N14" s="2">
        <v>29</v>
      </c>
      <c r="O14" s="2">
        <v>41</v>
      </c>
      <c r="P14" s="126">
        <v>1</v>
      </c>
      <c r="Q14" s="106">
        <v>9</v>
      </c>
      <c r="R14" s="127">
        <v>33</v>
      </c>
      <c r="S14" s="2">
        <v>2</v>
      </c>
      <c r="T14" s="2">
        <v>6</v>
      </c>
      <c r="U14" s="127">
        <v>26</v>
      </c>
      <c r="V14" s="2">
        <v>1</v>
      </c>
      <c r="W14" s="2">
        <v>0</v>
      </c>
      <c r="X14" s="109">
        <v>19</v>
      </c>
    </row>
    <row r="15" spans="1:24" x14ac:dyDescent="0.25">
      <c r="B15">
        <v>20095267</v>
      </c>
      <c r="C15" s="103">
        <v>1120.5999999999999</v>
      </c>
      <c r="D15" s="108">
        <v>1108.7</v>
      </c>
      <c r="E15" s="99">
        <v>6.9802299999999998E-4</v>
      </c>
      <c r="F15" s="99">
        <v>7.2920799999999996E-4</v>
      </c>
      <c r="G15" s="132">
        <v>6.9802299999999998E-4</v>
      </c>
      <c r="H15" s="133">
        <v>7.1418899999999995E-4</v>
      </c>
      <c r="I15" s="99">
        <v>6.8941900000000003E-4</v>
      </c>
      <c r="J15" s="133">
        <v>6.9363699999999999E-4</v>
      </c>
      <c r="K15" s="99">
        <v>6.5344299999999997E-4</v>
      </c>
      <c r="L15" s="116">
        <v>6.5964699999999997E-4</v>
      </c>
      <c r="M15" s="2">
        <v>0</v>
      </c>
      <c r="N15" s="2">
        <v>25</v>
      </c>
      <c r="O15" s="2">
        <v>30</v>
      </c>
      <c r="P15" s="126">
        <v>0</v>
      </c>
      <c r="Q15" s="106">
        <v>16</v>
      </c>
      <c r="R15" s="127">
        <v>30</v>
      </c>
      <c r="S15" s="2">
        <v>1</v>
      </c>
      <c r="T15" s="2">
        <v>12</v>
      </c>
      <c r="U15" s="127">
        <v>26</v>
      </c>
      <c r="V15" s="2">
        <v>0</v>
      </c>
      <c r="W15" s="2">
        <v>9</v>
      </c>
      <c r="X15" s="109">
        <v>18</v>
      </c>
    </row>
    <row r="16" spans="1:24" x14ac:dyDescent="0.25">
      <c r="B16">
        <v>20095383</v>
      </c>
      <c r="C16" s="103">
        <v>33155.1</v>
      </c>
      <c r="D16" s="108">
        <v>7714</v>
      </c>
      <c r="E16" s="99">
        <v>3.9651199999999997E-5</v>
      </c>
      <c r="F16" s="99">
        <v>3.9537799999999999E-5</v>
      </c>
      <c r="G16" s="132">
        <v>2.08829E-5</v>
      </c>
      <c r="H16" s="133">
        <v>1.85191E-5</v>
      </c>
      <c r="I16" s="99">
        <v>8.0227500000000004E-6</v>
      </c>
      <c r="J16" s="133">
        <v>9.4299900000000005E-6</v>
      </c>
      <c r="K16" s="99">
        <v>8.0227500000000004E-6</v>
      </c>
      <c r="L16" s="116">
        <v>7.0440900000000002E-6</v>
      </c>
      <c r="M16" s="2">
        <v>3</v>
      </c>
      <c r="N16" s="2">
        <v>6</v>
      </c>
      <c r="O16" s="2">
        <v>32</v>
      </c>
      <c r="P16" s="126">
        <v>1</v>
      </c>
      <c r="Q16" s="106">
        <v>0</v>
      </c>
      <c r="R16" s="127">
        <v>7</v>
      </c>
      <c r="S16" s="2">
        <v>0</v>
      </c>
      <c r="T16" s="2">
        <v>1</v>
      </c>
      <c r="U16" s="127">
        <v>1</v>
      </c>
      <c r="V16" s="2">
        <v>0</v>
      </c>
      <c r="W16" s="2">
        <v>0</v>
      </c>
      <c r="X16" s="109">
        <v>1</v>
      </c>
    </row>
    <row r="17" spans="2:24" x14ac:dyDescent="0.25">
      <c r="B17">
        <v>20095452</v>
      </c>
      <c r="C17" s="103">
        <v>1194.4000000000001</v>
      </c>
      <c r="D17" s="108">
        <v>1186.3</v>
      </c>
      <c r="E17" s="99">
        <v>5.1218100000000001E-4</v>
      </c>
      <c r="F17" s="99">
        <v>5.4633199999999996E-4</v>
      </c>
      <c r="G17" s="132">
        <v>5.1218100000000001E-4</v>
      </c>
      <c r="H17" s="133">
        <v>5.2453799999999996E-4</v>
      </c>
      <c r="I17" s="99">
        <v>5.0961300000000001E-4</v>
      </c>
      <c r="J17" s="133">
        <v>5.1825799999999996E-4</v>
      </c>
      <c r="K17" s="99">
        <v>4.9016800000000003E-4</v>
      </c>
      <c r="L17" s="116">
        <v>4.93878E-4</v>
      </c>
      <c r="M17" s="2">
        <v>0</v>
      </c>
      <c r="N17" s="2">
        <v>19</v>
      </c>
      <c r="O17" s="2">
        <v>21</v>
      </c>
      <c r="P17" s="126">
        <v>0</v>
      </c>
      <c r="Q17" s="106">
        <v>7</v>
      </c>
      <c r="R17" s="127">
        <v>21</v>
      </c>
      <c r="S17" s="2">
        <v>0</v>
      </c>
      <c r="T17" s="2">
        <v>5</v>
      </c>
      <c r="U17" s="127">
        <v>20</v>
      </c>
      <c r="V17" s="2">
        <v>0</v>
      </c>
      <c r="W17" s="2">
        <v>1</v>
      </c>
      <c r="X17" s="109">
        <v>16</v>
      </c>
    </row>
    <row r="18" spans="2:24" x14ac:dyDescent="0.25">
      <c r="B18">
        <v>20095501</v>
      </c>
      <c r="C18" s="103">
        <v>4857.8999999999996</v>
      </c>
      <c r="D18" s="108">
        <v>4827.8999999999996</v>
      </c>
      <c r="E18" s="99">
        <v>6.9521800000000005E-4</v>
      </c>
      <c r="F18" s="99">
        <v>6.4952800000000002E-4</v>
      </c>
      <c r="G18" s="132">
        <v>6.8791200000000005E-4</v>
      </c>
      <c r="H18" s="133">
        <v>6.3727399999999996E-4</v>
      </c>
      <c r="I18" s="99">
        <v>6.8511500000000003E-4</v>
      </c>
      <c r="J18" s="133">
        <v>6.3445999999999999E-4</v>
      </c>
      <c r="K18" s="99">
        <v>6.7825999999999997E-4</v>
      </c>
      <c r="L18" s="116">
        <v>6.2756200000000002E-4</v>
      </c>
      <c r="M18" s="2">
        <v>1</v>
      </c>
      <c r="N18" s="2">
        <v>7</v>
      </c>
      <c r="O18" s="2">
        <v>26</v>
      </c>
      <c r="P18" s="126">
        <v>1</v>
      </c>
      <c r="Q18" s="106">
        <v>0</v>
      </c>
      <c r="R18" s="127">
        <v>19</v>
      </c>
      <c r="S18" s="2">
        <v>1</v>
      </c>
      <c r="T18" s="2">
        <v>0</v>
      </c>
      <c r="U18" s="127">
        <v>17</v>
      </c>
      <c r="V18" s="2">
        <v>1</v>
      </c>
      <c r="W18" s="2">
        <v>0</v>
      </c>
      <c r="X18" s="109">
        <v>14</v>
      </c>
    </row>
    <row r="19" spans="2:24" x14ac:dyDescent="0.25">
      <c r="B19">
        <v>20095509</v>
      </c>
      <c r="C19" s="103">
        <v>49419.4</v>
      </c>
      <c r="D19" s="108">
        <v>7720.5</v>
      </c>
      <c r="E19" s="99">
        <v>8.29793E-5</v>
      </c>
      <c r="F19" s="99">
        <v>8.3549799999999998E-5</v>
      </c>
      <c r="G19" s="132">
        <v>4.3981299999999999E-5</v>
      </c>
      <c r="H19" s="133">
        <v>5.2559200000000003E-5</v>
      </c>
      <c r="I19" s="99">
        <v>3.7091500000000002E-5</v>
      </c>
      <c r="J19" s="133">
        <v>4.25695E-5</v>
      </c>
      <c r="K19" s="99">
        <v>3.2382999999999998E-5</v>
      </c>
      <c r="L19" s="116">
        <v>3.7234199999999997E-5</v>
      </c>
      <c r="M19" s="2">
        <v>12</v>
      </c>
      <c r="N19" s="2">
        <v>1</v>
      </c>
      <c r="O19" s="2">
        <v>48</v>
      </c>
      <c r="P19" s="126">
        <v>0</v>
      </c>
      <c r="Q19" s="106">
        <v>2</v>
      </c>
      <c r="R19" s="127">
        <v>9</v>
      </c>
      <c r="S19" s="2">
        <v>0</v>
      </c>
      <c r="T19" s="2">
        <v>0</v>
      </c>
      <c r="U19" s="127">
        <v>4</v>
      </c>
      <c r="V19" s="2">
        <v>0</v>
      </c>
      <c r="W19" s="2">
        <v>0</v>
      </c>
      <c r="X19" s="109">
        <v>2</v>
      </c>
    </row>
    <row r="20" spans="2:24" x14ac:dyDescent="0.25">
      <c r="B20">
        <v>20095510</v>
      </c>
      <c r="C20" s="103">
        <v>1115.7</v>
      </c>
      <c r="D20" s="108">
        <v>1102.2</v>
      </c>
      <c r="E20" s="99">
        <v>6.1310100000000001E-4</v>
      </c>
      <c r="F20" s="99">
        <v>6.2855699999999997E-4</v>
      </c>
      <c r="G20" s="132">
        <v>6.1310100000000001E-4</v>
      </c>
      <c r="H20" s="133">
        <v>6.23388E-4</v>
      </c>
      <c r="I20" s="99">
        <v>6.0799499999999995E-4</v>
      </c>
      <c r="J20" s="133">
        <v>6.0390699999999999E-4</v>
      </c>
      <c r="K20" s="99">
        <v>5.7657400000000005E-4</v>
      </c>
      <c r="L20" s="116">
        <v>5.8045099999999995E-4</v>
      </c>
      <c r="M20" s="2">
        <v>0</v>
      </c>
      <c r="N20" s="2">
        <v>10</v>
      </c>
      <c r="O20" s="2">
        <v>25</v>
      </c>
      <c r="P20" s="126">
        <v>0</v>
      </c>
      <c r="Q20" s="106">
        <v>7</v>
      </c>
      <c r="R20" s="127">
        <v>25</v>
      </c>
      <c r="S20" s="2">
        <v>1</v>
      </c>
      <c r="T20" s="2">
        <v>0</v>
      </c>
      <c r="U20" s="127">
        <v>22</v>
      </c>
      <c r="V20" s="2">
        <v>0</v>
      </c>
      <c r="W20" s="2">
        <v>1</v>
      </c>
      <c r="X20" s="109">
        <v>15</v>
      </c>
    </row>
    <row r="21" spans="2:24" x14ac:dyDescent="0.25">
      <c r="B21">
        <v>20096069</v>
      </c>
      <c r="C21" s="103">
        <v>2223.4</v>
      </c>
      <c r="D21" s="108">
        <v>2203.3000000000002</v>
      </c>
      <c r="E21" s="99">
        <v>1.3993400000000001E-4</v>
      </c>
      <c r="F21" s="99">
        <v>1.5513699999999999E-4</v>
      </c>
      <c r="G21" s="132">
        <v>1.2751700000000001E-4</v>
      </c>
      <c r="H21" s="133">
        <v>1.3306E-4</v>
      </c>
      <c r="I21" s="99">
        <v>1.00319E-4</v>
      </c>
      <c r="J21" s="133">
        <v>1.0024199999999999E-4</v>
      </c>
      <c r="K21" s="99">
        <v>4.3754100000000002E-5</v>
      </c>
      <c r="L21" s="116">
        <v>4.0773099999999998E-5</v>
      </c>
      <c r="M21" s="2">
        <v>0</v>
      </c>
      <c r="N21" s="2">
        <v>16</v>
      </c>
      <c r="O21" s="2">
        <v>44</v>
      </c>
      <c r="P21" s="126">
        <v>0</v>
      </c>
      <c r="Q21" s="106">
        <v>7</v>
      </c>
      <c r="R21" s="127">
        <v>38</v>
      </c>
      <c r="S21" s="2">
        <v>0</v>
      </c>
      <c r="T21" s="2">
        <v>0</v>
      </c>
      <c r="U21" s="127">
        <v>28</v>
      </c>
      <c r="V21" s="2">
        <v>2</v>
      </c>
      <c r="W21" s="2">
        <v>0</v>
      </c>
      <c r="X21" s="109">
        <v>9</v>
      </c>
    </row>
    <row r="22" spans="2:24" x14ac:dyDescent="0.25">
      <c r="B22">
        <v>20096074</v>
      </c>
      <c r="C22" s="103">
        <v>19740.5</v>
      </c>
      <c r="D22" s="108">
        <v>7624.2</v>
      </c>
      <c r="E22" s="99">
        <v>1.6509200000000001E-4</v>
      </c>
      <c r="F22" s="99">
        <v>1.66911E-4</v>
      </c>
      <c r="G22" s="132">
        <v>1.42915E-4</v>
      </c>
      <c r="H22" s="133">
        <v>1.42829E-4</v>
      </c>
      <c r="I22" s="99">
        <v>1.3203800000000001E-4</v>
      </c>
      <c r="J22" s="133">
        <v>1.36391E-4</v>
      </c>
      <c r="K22" s="99">
        <v>1.3203800000000001E-4</v>
      </c>
      <c r="L22" s="116">
        <v>1.31851E-4</v>
      </c>
      <c r="M22" s="2">
        <v>10</v>
      </c>
      <c r="N22" s="2">
        <v>12</v>
      </c>
      <c r="O22" s="2">
        <v>44</v>
      </c>
      <c r="P22" s="126">
        <v>1</v>
      </c>
      <c r="Q22" s="106">
        <v>0</v>
      </c>
      <c r="R22" s="127">
        <v>13</v>
      </c>
      <c r="S22" s="2">
        <v>0</v>
      </c>
      <c r="T22" s="2">
        <v>2</v>
      </c>
      <c r="U22" s="127">
        <v>7</v>
      </c>
      <c r="V22" s="2">
        <v>0</v>
      </c>
      <c r="W22" s="2">
        <v>0</v>
      </c>
      <c r="X22" s="109">
        <v>7</v>
      </c>
    </row>
    <row r="23" spans="2:24" x14ac:dyDescent="0.25">
      <c r="B23">
        <v>20097208</v>
      </c>
      <c r="C23" s="103">
        <v>5065.2</v>
      </c>
      <c r="D23" s="108">
        <v>5032.2</v>
      </c>
      <c r="E23" s="99">
        <v>5.3015699999999996E-4</v>
      </c>
      <c r="F23" s="99">
        <v>5.37204E-4</v>
      </c>
      <c r="G23" s="132">
        <v>5.2098599999999998E-4</v>
      </c>
      <c r="H23" s="133">
        <v>5.20919E-4</v>
      </c>
      <c r="I23" s="99">
        <v>5.2098599999999998E-4</v>
      </c>
      <c r="J23" s="133">
        <v>5.20919E-4</v>
      </c>
      <c r="K23" s="99">
        <v>5.1674700000000002E-4</v>
      </c>
      <c r="L23" s="116">
        <v>5.1674000000000002E-4</v>
      </c>
      <c r="M23" s="2">
        <v>0</v>
      </c>
      <c r="N23" s="2">
        <v>12</v>
      </c>
      <c r="O23" s="2">
        <v>25</v>
      </c>
      <c r="P23" s="126">
        <v>0</v>
      </c>
      <c r="Q23" s="106">
        <v>0</v>
      </c>
      <c r="R23" s="127">
        <v>17</v>
      </c>
      <c r="S23" s="2">
        <v>0</v>
      </c>
      <c r="T23" s="2">
        <v>0</v>
      </c>
      <c r="U23" s="127">
        <v>17</v>
      </c>
      <c r="V23" s="2">
        <v>0</v>
      </c>
      <c r="W23" s="2">
        <v>0</v>
      </c>
      <c r="X23" s="109">
        <v>15</v>
      </c>
    </row>
    <row r="24" spans="2:24" x14ac:dyDescent="0.25">
      <c r="B24">
        <v>20097214</v>
      </c>
      <c r="C24" s="103">
        <v>4620.8</v>
      </c>
      <c r="D24" s="108">
        <v>4592.8</v>
      </c>
      <c r="E24" s="99">
        <v>4.4524700000000001E-4</v>
      </c>
      <c r="F24" s="99">
        <v>4.4691000000000002E-4</v>
      </c>
      <c r="G24" s="132">
        <v>4.4230700000000002E-4</v>
      </c>
      <c r="H24" s="133">
        <v>4.40708E-4</v>
      </c>
      <c r="I24" s="99">
        <v>4.3993599999999998E-4</v>
      </c>
      <c r="J24" s="133">
        <v>4.3832300000000001E-4</v>
      </c>
      <c r="K24" s="99">
        <v>4.27133E-4</v>
      </c>
      <c r="L24" s="116">
        <v>4.2553799999999999E-4</v>
      </c>
      <c r="M24" s="2">
        <v>0</v>
      </c>
      <c r="N24" s="2">
        <v>5</v>
      </c>
      <c r="O24" s="2">
        <v>26</v>
      </c>
      <c r="P24" s="126">
        <v>0</v>
      </c>
      <c r="Q24" s="106">
        <v>0</v>
      </c>
      <c r="R24" s="127">
        <v>23</v>
      </c>
      <c r="S24" s="2">
        <v>0</v>
      </c>
      <c r="T24" s="2">
        <v>0</v>
      </c>
      <c r="U24" s="127">
        <v>22</v>
      </c>
      <c r="V24" s="2">
        <v>0</v>
      </c>
      <c r="W24" s="2">
        <v>0</v>
      </c>
      <c r="X24" s="109">
        <v>18</v>
      </c>
    </row>
    <row r="25" spans="2:24" x14ac:dyDescent="0.25">
      <c r="B25">
        <v>20097575</v>
      </c>
      <c r="C25" s="103">
        <v>11651.8</v>
      </c>
      <c r="D25" s="108">
        <v>4879.8</v>
      </c>
      <c r="E25" s="99">
        <v>8.4093999999999998E-5</v>
      </c>
      <c r="F25" s="99">
        <v>9.4560800000000004E-5</v>
      </c>
      <c r="G25" s="132">
        <v>4.7914000000000002E-5</v>
      </c>
      <c r="H25" s="133">
        <v>5.9628099999999999E-5</v>
      </c>
      <c r="I25" s="99">
        <v>4.07307E-5</v>
      </c>
      <c r="J25" s="133">
        <v>5.2354200000000001E-5</v>
      </c>
      <c r="K25" s="99">
        <v>3.94144E-5</v>
      </c>
      <c r="L25" s="116">
        <v>3.98718E-5</v>
      </c>
      <c r="M25" s="2">
        <v>8</v>
      </c>
      <c r="N25" s="2">
        <v>19</v>
      </c>
      <c r="O25" s="2">
        <v>39</v>
      </c>
      <c r="P25" s="126">
        <v>0</v>
      </c>
      <c r="Q25" s="106">
        <v>9</v>
      </c>
      <c r="R25" s="127">
        <v>14</v>
      </c>
      <c r="S25" s="2">
        <v>0</v>
      </c>
      <c r="T25" s="2">
        <v>9</v>
      </c>
      <c r="U25" s="127">
        <v>11</v>
      </c>
      <c r="V25" s="2">
        <v>0</v>
      </c>
      <c r="W25" s="2">
        <v>1</v>
      </c>
      <c r="X25" s="109">
        <v>10</v>
      </c>
    </row>
    <row r="26" spans="2:24" x14ac:dyDescent="0.25">
      <c r="B26">
        <v>20097608</v>
      </c>
      <c r="C26" s="103">
        <v>26639</v>
      </c>
      <c r="D26" s="108">
        <v>7682.4</v>
      </c>
      <c r="E26" s="99">
        <v>7.1919499999999995E-5</v>
      </c>
      <c r="F26" s="99">
        <v>6.9704100000000002E-5</v>
      </c>
      <c r="G26" s="132">
        <v>6.0782899999999997E-5</v>
      </c>
      <c r="H26" s="133">
        <v>6.0919799999999999E-5</v>
      </c>
      <c r="I26" s="99">
        <v>5.9170799999999999E-5</v>
      </c>
      <c r="J26" s="133">
        <v>5.5729100000000001E-5</v>
      </c>
      <c r="K26" s="99">
        <v>4.0006499999999997E-5</v>
      </c>
      <c r="L26" s="116">
        <v>4.1982199999999999E-5</v>
      </c>
      <c r="M26" s="2">
        <v>7</v>
      </c>
      <c r="N26" s="2">
        <v>4</v>
      </c>
      <c r="O26" s="2">
        <v>25</v>
      </c>
      <c r="P26" s="126">
        <v>0</v>
      </c>
      <c r="Q26" s="106">
        <v>1</v>
      </c>
      <c r="R26" s="127">
        <v>13</v>
      </c>
      <c r="S26" s="2">
        <v>1</v>
      </c>
      <c r="T26" s="2">
        <v>0</v>
      </c>
      <c r="U26" s="127">
        <v>11</v>
      </c>
      <c r="V26" s="2">
        <v>0</v>
      </c>
      <c r="W26" s="2">
        <v>1</v>
      </c>
      <c r="X26" s="109">
        <v>6</v>
      </c>
    </row>
    <row r="27" spans="2:24" x14ac:dyDescent="0.25">
      <c r="B27">
        <v>20097639</v>
      </c>
      <c r="C27" s="103">
        <v>37859.199999999997</v>
      </c>
      <c r="D27" s="108">
        <v>7699.8</v>
      </c>
      <c r="E27" s="99">
        <v>6.8835200000000001E-5</v>
      </c>
      <c r="F27" s="99">
        <v>6.5278199999999994E-5</v>
      </c>
      <c r="G27" s="132">
        <v>6.3915899999999996E-5</v>
      </c>
      <c r="H27" s="133">
        <v>6.2148000000000002E-5</v>
      </c>
      <c r="I27" s="99">
        <v>6.3915899999999996E-5</v>
      </c>
      <c r="J27" s="133">
        <v>6.2148000000000002E-5</v>
      </c>
      <c r="K27" s="99">
        <v>6.3915899999999996E-5</v>
      </c>
      <c r="L27" s="116">
        <v>5.4464900000000001E-5</v>
      </c>
      <c r="M27" s="2">
        <v>4</v>
      </c>
      <c r="N27" s="2">
        <v>0</v>
      </c>
      <c r="O27" s="2">
        <v>15</v>
      </c>
      <c r="P27" s="126">
        <v>0</v>
      </c>
      <c r="Q27" s="106">
        <v>0</v>
      </c>
      <c r="R27" s="127">
        <v>11</v>
      </c>
      <c r="S27" s="2">
        <v>0</v>
      </c>
      <c r="T27" s="2">
        <v>0</v>
      </c>
      <c r="U27" s="127">
        <v>11</v>
      </c>
      <c r="V27" s="2">
        <v>2</v>
      </c>
      <c r="W27" s="2">
        <v>0</v>
      </c>
      <c r="X27" s="109">
        <v>9</v>
      </c>
    </row>
    <row r="28" spans="2:24" x14ac:dyDescent="0.25">
      <c r="B28">
        <v>20097661</v>
      </c>
      <c r="C28" s="103">
        <v>6174.6</v>
      </c>
      <c r="D28" s="108">
        <v>4934.5</v>
      </c>
      <c r="E28" s="99">
        <v>2.765E-4</v>
      </c>
      <c r="F28" s="99">
        <v>3.0123200000000002E-4</v>
      </c>
      <c r="G28" s="132">
        <v>2.5535100000000002E-4</v>
      </c>
      <c r="H28" s="133">
        <v>2.69972E-4</v>
      </c>
      <c r="I28" s="99">
        <v>2.26111E-4</v>
      </c>
      <c r="J28" s="133">
        <v>2.4554999999999998E-4</v>
      </c>
      <c r="K28" s="99">
        <v>1.8949099999999999E-4</v>
      </c>
      <c r="L28" s="116">
        <v>2.0647499999999999E-4</v>
      </c>
      <c r="M28" s="2">
        <v>0</v>
      </c>
      <c r="N28" s="2">
        <v>21</v>
      </c>
      <c r="O28" s="2">
        <v>45</v>
      </c>
      <c r="P28" s="126">
        <v>0</v>
      </c>
      <c r="Q28" s="106">
        <v>1</v>
      </c>
      <c r="R28" s="127">
        <v>27</v>
      </c>
      <c r="S28" s="2">
        <v>1</v>
      </c>
      <c r="T28" s="2">
        <v>2</v>
      </c>
      <c r="U28" s="127">
        <v>16</v>
      </c>
      <c r="V28" s="2">
        <v>0</v>
      </c>
      <c r="W28" s="2">
        <v>0</v>
      </c>
      <c r="X28" s="109">
        <v>9</v>
      </c>
    </row>
    <row r="29" spans="2:24" x14ac:dyDescent="0.25">
      <c r="B29">
        <v>20100450</v>
      </c>
      <c r="C29" s="103">
        <v>1840.6</v>
      </c>
      <c r="D29" s="108">
        <v>1828.6</v>
      </c>
      <c r="E29" s="99">
        <v>1.1260999999999999E-4</v>
      </c>
      <c r="F29" s="99">
        <v>1.2293699999999999E-4</v>
      </c>
      <c r="G29" s="132">
        <v>1.0618199999999999E-4</v>
      </c>
      <c r="H29" s="133">
        <v>1.076E-4</v>
      </c>
      <c r="I29" s="99">
        <v>9.7372699999999997E-5</v>
      </c>
      <c r="J29" s="133">
        <v>9.8013899999999993E-5</v>
      </c>
      <c r="K29" s="99">
        <v>5.7852300000000002E-5</v>
      </c>
      <c r="L29" s="116">
        <v>5.9191699999999998E-5</v>
      </c>
      <c r="M29" s="2">
        <v>0</v>
      </c>
      <c r="N29" s="2">
        <v>8</v>
      </c>
      <c r="O29" s="2">
        <v>24</v>
      </c>
      <c r="P29" s="126">
        <v>0</v>
      </c>
      <c r="Q29" s="106">
        <v>1</v>
      </c>
      <c r="R29" s="127">
        <v>21</v>
      </c>
      <c r="S29" s="2">
        <v>0</v>
      </c>
      <c r="T29" s="2">
        <v>0</v>
      </c>
      <c r="U29" s="127">
        <v>17</v>
      </c>
      <c r="V29" s="2">
        <v>0</v>
      </c>
      <c r="W29" s="2">
        <v>0</v>
      </c>
      <c r="X29" s="109">
        <v>8</v>
      </c>
    </row>
    <row r="30" spans="2:24" x14ac:dyDescent="0.25">
      <c r="B30">
        <v>20101450</v>
      </c>
      <c r="C30" s="103" t="s">
        <v>49</v>
      </c>
      <c r="D30" s="108" t="s">
        <v>49</v>
      </c>
      <c r="E30" s="99" t="s">
        <v>49</v>
      </c>
      <c r="F30" s="99" t="s">
        <v>49</v>
      </c>
      <c r="G30" s="132" t="s">
        <v>49</v>
      </c>
      <c r="H30" s="133" t="s">
        <v>49</v>
      </c>
      <c r="I30" s="99" t="s">
        <v>49</v>
      </c>
      <c r="J30" s="133" t="s">
        <v>49</v>
      </c>
      <c r="K30" s="99" t="s">
        <v>49</v>
      </c>
      <c r="L30" s="116" t="s">
        <v>49</v>
      </c>
      <c r="M30" s="2" t="s">
        <v>49</v>
      </c>
      <c r="N30" s="2" t="s">
        <v>49</v>
      </c>
      <c r="O30" s="2" t="s">
        <v>49</v>
      </c>
      <c r="P30" s="126" t="s">
        <v>49</v>
      </c>
      <c r="Q30" s="106" t="s">
        <v>49</v>
      </c>
      <c r="R30" s="127" t="s">
        <v>49</v>
      </c>
      <c r="S30" s="2" t="s">
        <v>49</v>
      </c>
      <c r="T30" s="2" t="s">
        <v>49</v>
      </c>
      <c r="U30" s="127" t="s">
        <v>49</v>
      </c>
      <c r="V30" s="2" t="s">
        <v>49</v>
      </c>
      <c r="W30" s="2" t="s">
        <v>49</v>
      </c>
      <c r="X30" s="109" t="s">
        <v>49</v>
      </c>
    </row>
    <row r="31" spans="2:24" x14ac:dyDescent="0.25">
      <c r="B31">
        <v>20101466</v>
      </c>
      <c r="C31" s="103">
        <v>1374.9</v>
      </c>
      <c r="D31" s="108">
        <v>1366.7</v>
      </c>
      <c r="E31" s="99">
        <v>1.3657400000000001E-3</v>
      </c>
      <c r="F31" s="99">
        <v>1.3970499999999999E-3</v>
      </c>
      <c r="G31" s="132">
        <v>1.3638299999999999E-3</v>
      </c>
      <c r="H31" s="133">
        <v>1.37236E-3</v>
      </c>
      <c r="I31" s="99">
        <v>1.34566E-3</v>
      </c>
      <c r="J31" s="133">
        <v>1.34414E-3</v>
      </c>
      <c r="K31" s="99">
        <v>1.27363E-3</v>
      </c>
      <c r="L31" s="116">
        <v>1.2598100000000001E-3</v>
      </c>
      <c r="M31" s="2">
        <v>0</v>
      </c>
      <c r="N31" s="2">
        <v>31</v>
      </c>
      <c r="O31" s="2">
        <v>48</v>
      </c>
      <c r="P31" s="126">
        <v>0</v>
      </c>
      <c r="Q31" s="106">
        <v>15</v>
      </c>
      <c r="R31" s="127">
        <v>47</v>
      </c>
      <c r="S31" s="2">
        <v>1</v>
      </c>
      <c r="T31" s="2">
        <v>11</v>
      </c>
      <c r="U31" s="127">
        <v>40</v>
      </c>
      <c r="V31" s="2">
        <v>2</v>
      </c>
      <c r="W31" s="2">
        <v>1</v>
      </c>
      <c r="X31" s="109">
        <v>24</v>
      </c>
    </row>
    <row r="32" spans="2:24" x14ac:dyDescent="0.25">
      <c r="B32">
        <v>20101910</v>
      </c>
      <c r="C32" s="103">
        <v>966.2</v>
      </c>
      <c r="D32" s="108">
        <v>958.9</v>
      </c>
      <c r="E32" s="99">
        <v>1.0409200000000001E-3</v>
      </c>
      <c r="F32" s="99">
        <v>1.07755E-3</v>
      </c>
      <c r="G32" s="132">
        <v>1.0409200000000001E-3</v>
      </c>
      <c r="H32" s="133">
        <v>1.0620200000000001E-3</v>
      </c>
      <c r="I32" s="99">
        <v>1.02732E-3</v>
      </c>
      <c r="J32" s="133">
        <v>1.0373400000000001E-3</v>
      </c>
      <c r="K32" s="99">
        <v>9.5656199999999999E-4</v>
      </c>
      <c r="L32" s="116">
        <v>9.4274500000000004E-4</v>
      </c>
      <c r="M32" s="2">
        <v>0</v>
      </c>
      <c r="N32" s="2">
        <v>27</v>
      </c>
      <c r="O32" s="2">
        <v>73</v>
      </c>
      <c r="P32" s="126">
        <v>1</v>
      </c>
      <c r="Q32" s="106">
        <v>20</v>
      </c>
      <c r="R32" s="127">
        <v>72</v>
      </c>
      <c r="S32" s="2">
        <v>0</v>
      </c>
      <c r="T32" s="2">
        <v>8</v>
      </c>
      <c r="U32" s="127">
        <v>69</v>
      </c>
      <c r="V32" s="2">
        <v>2</v>
      </c>
      <c r="W32" s="2">
        <v>1</v>
      </c>
      <c r="X32" s="109">
        <v>47</v>
      </c>
    </row>
    <row r="33" spans="2:24" x14ac:dyDescent="0.25">
      <c r="B33">
        <v>20102111</v>
      </c>
      <c r="C33" s="103">
        <v>780.7</v>
      </c>
      <c r="D33" s="108">
        <v>771.4</v>
      </c>
      <c r="E33" s="99">
        <v>1.2297899999999999E-3</v>
      </c>
      <c r="F33" s="99">
        <v>1.2503499999999999E-3</v>
      </c>
      <c r="G33" s="132">
        <v>1.2297899999999999E-3</v>
      </c>
      <c r="H33" s="133">
        <v>1.2463699999999999E-3</v>
      </c>
      <c r="I33" s="99">
        <v>1.2297899999999999E-3</v>
      </c>
      <c r="J33" s="133">
        <v>1.23558E-3</v>
      </c>
      <c r="K33" s="99">
        <v>1.1843299999999999E-3</v>
      </c>
      <c r="L33" s="116">
        <v>1.1833099999999999E-3</v>
      </c>
      <c r="M33" s="2">
        <v>0</v>
      </c>
      <c r="N33" s="2">
        <v>12</v>
      </c>
      <c r="O33" s="2">
        <v>54</v>
      </c>
      <c r="P33" s="126">
        <v>0</v>
      </c>
      <c r="Q33" s="106">
        <v>10</v>
      </c>
      <c r="R33" s="127">
        <v>54</v>
      </c>
      <c r="S33" s="2">
        <v>0</v>
      </c>
      <c r="T33" s="2">
        <v>5</v>
      </c>
      <c r="U33" s="127">
        <v>54</v>
      </c>
      <c r="V33" s="2">
        <v>0</v>
      </c>
      <c r="W33" s="2">
        <v>1</v>
      </c>
      <c r="X33" s="109">
        <v>44</v>
      </c>
    </row>
    <row r="34" spans="2:24" x14ac:dyDescent="0.25">
      <c r="B34">
        <v>20102207</v>
      </c>
      <c r="C34" s="103">
        <v>5644</v>
      </c>
      <c r="D34" s="108">
        <v>5169.6000000000004</v>
      </c>
      <c r="E34" s="99">
        <v>5.2020600000000001E-5</v>
      </c>
      <c r="F34" s="99">
        <v>8.1969099999999994E-5</v>
      </c>
      <c r="G34" s="132">
        <v>3.6414400000000002E-5</v>
      </c>
      <c r="H34" s="133">
        <v>4.0263999999999999E-5</v>
      </c>
      <c r="I34" s="99">
        <v>2.2050499999999998E-5</v>
      </c>
      <c r="J34" s="133">
        <v>2.3649799999999998E-5</v>
      </c>
      <c r="K34" s="99">
        <v>1.1025299999999999E-5</v>
      </c>
      <c r="L34" s="116">
        <v>1.20368E-5</v>
      </c>
      <c r="M34" s="2">
        <v>0</v>
      </c>
      <c r="N34" s="2">
        <v>47</v>
      </c>
      <c r="O34" s="2">
        <v>26</v>
      </c>
      <c r="P34" s="126">
        <v>0</v>
      </c>
      <c r="Q34" s="106">
        <v>2</v>
      </c>
      <c r="R34" s="127">
        <v>13</v>
      </c>
      <c r="S34" s="2">
        <v>0</v>
      </c>
      <c r="T34" s="2">
        <v>0</v>
      </c>
      <c r="U34" s="127">
        <v>6</v>
      </c>
      <c r="V34" s="2">
        <v>0</v>
      </c>
      <c r="W34" s="2">
        <v>0</v>
      </c>
      <c r="X34" s="109">
        <v>2</v>
      </c>
    </row>
    <row r="35" spans="2:24" x14ac:dyDescent="0.25">
      <c r="B35">
        <v>20102236</v>
      </c>
      <c r="C35" s="103">
        <v>1209.5999999999999</v>
      </c>
      <c r="D35" s="108">
        <v>1199.4000000000001</v>
      </c>
      <c r="E35" s="99">
        <v>5.4995399999999996E-4</v>
      </c>
      <c r="F35" s="99">
        <v>5.7435500000000003E-4</v>
      </c>
      <c r="G35" s="132">
        <v>5.4995399999999996E-4</v>
      </c>
      <c r="H35" s="133">
        <v>5.6777800000000001E-4</v>
      </c>
      <c r="I35" s="99">
        <v>5.3981000000000005E-4</v>
      </c>
      <c r="J35" s="133">
        <v>5.4037599999999996E-4</v>
      </c>
      <c r="K35" s="99">
        <v>5.0575499999999998E-4</v>
      </c>
      <c r="L35" s="116">
        <v>5.0566599999999999E-4</v>
      </c>
      <c r="M35" s="2">
        <v>0</v>
      </c>
      <c r="N35" s="2">
        <v>16</v>
      </c>
      <c r="O35" s="2">
        <v>32</v>
      </c>
      <c r="P35" s="126">
        <v>0</v>
      </c>
      <c r="Q35" s="106">
        <v>12</v>
      </c>
      <c r="R35" s="127">
        <v>32</v>
      </c>
      <c r="S35" s="2">
        <v>1</v>
      </c>
      <c r="T35" s="2">
        <v>2</v>
      </c>
      <c r="U35" s="127">
        <v>27</v>
      </c>
      <c r="V35" s="2">
        <v>0</v>
      </c>
      <c r="W35" s="2">
        <v>0</v>
      </c>
      <c r="X35" s="109">
        <v>18</v>
      </c>
    </row>
    <row r="36" spans="2:24" x14ac:dyDescent="0.25">
      <c r="B36">
        <v>20102251</v>
      </c>
      <c r="C36" s="103">
        <v>2203.5</v>
      </c>
      <c r="D36" s="108">
        <v>2181.1999999999998</v>
      </c>
      <c r="E36" s="99">
        <v>1.43267E-3</v>
      </c>
      <c r="F36" s="99">
        <v>1.39025E-3</v>
      </c>
      <c r="G36" s="132">
        <v>1.4294900000000001E-3</v>
      </c>
      <c r="H36" s="133">
        <v>1.3659399999999999E-3</v>
      </c>
      <c r="I36" s="99">
        <v>1.3670399999999999E-3</v>
      </c>
      <c r="J36" s="133">
        <v>1.29823E-3</v>
      </c>
      <c r="K36" s="99">
        <v>1.2872999999999999E-3</v>
      </c>
      <c r="L36" s="116">
        <v>1.2118400000000001E-3</v>
      </c>
      <c r="M36" s="2">
        <v>8</v>
      </c>
      <c r="N36" s="2">
        <v>30</v>
      </c>
      <c r="O36" s="2">
        <v>87</v>
      </c>
      <c r="P36" s="126">
        <v>8</v>
      </c>
      <c r="Q36" s="106">
        <v>9</v>
      </c>
      <c r="R36" s="127">
        <v>85</v>
      </c>
      <c r="S36" s="2">
        <v>9</v>
      </c>
      <c r="T36" s="2">
        <v>5</v>
      </c>
      <c r="U36" s="127">
        <v>66</v>
      </c>
      <c r="V36" s="2">
        <v>7</v>
      </c>
      <c r="W36" s="2">
        <v>0</v>
      </c>
      <c r="X36" s="109">
        <v>47</v>
      </c>
    </row>
    <row r="37" spans="2:24" x14ac:dyDescent="0.25">
      <c r="B37">
        <v>20102362</v>
      </c>
      <c r="C37" s="103">
        <v>3669.5</v>
      </c>
      <c r="D37" s="108">
        <v>3644.5</v>
      </c>
      <c r="E37" s="99">
        <v>1.57875E-4</v>
      </c>
      <c r="F37" s="99">
        <v>1.77591E-4</v>
      </c>
      <c r="G37" s="132">
        <v>1.4426099999999999E-4</v>
      </c>
      <c r="H37" s="133">
        <v>1.41039E-4</v>
      </c>
      <c r="I37" s="99">
        <v>1.20735E-4</v>
      </c>
      <c r="J37" s="133">
        <v>1.1963700000000001E-4</v>
      </c>
      <c r="K37" s="99">
        <v>1.0497099999999999E-4</v>
      </c>
      <c r="L37" s="116">
        <v>1.03885E-4</v>
      </c>
      <c r="M37" s="2">
        <v>0</v>
      </c>
      <c r="N37" s="2">
        <v>28</v>
      </c>
      <c r="O37" s="2">
        <v>37</v>
      </c>
      <c r="P37" s="126">
        <v>5</v>
      </c>
      <c r="Q37" s="106">
        <v>4</v>
      </c>
      <c r="R37" s="127">
        <v>23</v>
      </c>
      <c r="S37" s="2">
        <v>0</v>
      </c>
      <c r="T37" s="2">
        <v>0</v>
      </c>
      <c r="U37" s="127">
        <v>15</v>
      </c>
      <c r="V37" s="2">
        <v>0</v>
      </c>
      <c r="W37" s="2">
        <v>0</v>
      </c>
      <c r="X37" s="109">
        <v>7</v>
      </c>
    </row>
    <row r="38" spans="2:24" x14ac:dyDescent="0.25">
      <c r="B38">
        <v>20110104</v>
      </c>
      <c r="C38" s="103">
        <v>972.6</v>
      </c>
      <c r="D38" s="108">
        <v>961.5</v>
      </c>
      <c r="E38" s="99">
        <v>3.1061700000000001E-3</v>
      </c>
      <c r="F38" s="99">
        <v>2.7523999999999999E-3</v>
      </c>
      <c r="G38" s="132">
        <v>3.1061700000000001E-3</v>
      </c>
      <c r="H38" s="133">
        <v>2.74055E-3</v>
      </c>
      <c r="I38" s="99">
        <v>3.0958100000000001E-3</v>
      </c>
      <c r="J38" s="133">
        <v>2.7109199999999999E-3</v>
      </c>
      <c r="K38" s="99">
        <v>3.0453400000000001E-3</v>
      </c>
      <c r="L38" s="116">
        <v>2.6562299999999999E-3</v>
      </c>
      <c r="M38" s="2">
        <v>3</v>
      </c>
      <c r="N38" s="2">
        <v>22</v>
      </c>
      <c r="O38" s="2">
        <v>57</v>
      </c>
      <c r="P38" s="126">
        <v>3</v>
      </c>
      <c r="Q38" s="106">
        <v>16</v>
      </c>
      <c r="R38" s="127">
        <v>57</v>
      </c>
      <c r="S38" s="2">
        <v>3</v>
      </c>
      <c r="T38" s="2">
        <v>5</v>
      </c>
      <c r="U38" s="127">
        <v>54</v>
      </c>
      <c r="V38" s="2">
        <v>3</v>
      </c>
      <c r="W38" s="2">
        <v>1</v>
      </c>
      <c r="X38" s="109">
        <v>43</v>
      </c>
    </row>
    <row r="39" spans="2:24" x14ac:dyDescent="0.25">
      <c r="B39">
        <v>20110187</v>
      </c>
      <c r="C39" s="103">
        <v>2916.7</v>
      </c>
      <c r="D39" s="108">
        <v>2890.8</v>
      </c>
      <c r="E39" s="99">
        <v>2.8080100000000001E-4</v>
      </c>
      <c r="F39" s="99">
        <v>2.8150099999999997E-4</v>
      </c>
      <c r="G39" s="132">
        <v>2.66829E-4</v>
      </c>
      <c r="H39" s="133">
        <v>2.5406400000000003E-4</v>
      </c>
      <c r="I39" s="99">
        <v>2.4098699999999999E-4</v>
      </c>
      <c r="J39" s="133">
        <v>2.2480699999999999E-4</v>
      </c>
      <c r="K39" s="99">
        <v>1.9110700000000001E-4</v>
      </c>
      <c r="L39" s="116">
        <v>1.78572E-4</v>
      </c>
      <c r="M39" s="2">
        <v>2</v>
      </c>
      <c r="N39" s="2">
        <v>15</v>
      </c>
      <c r="O39" s="2">
        <v>50</v>
      </c>
      <c r="P39" s="126">
        <v>2</v>
      </c>
      <c r="Q39" s="106">
        <v>1</v>
      </c>
      <c r="R39" s="127">
        <v>42</v>
      </c>
      <c r="S39" s="2">
        <v>4</v>
      </c>
      <c r="T39" s="2">
        <v>2</v>
      </c>
      <c r="U39" s="127">
        <v>30</v>
      </c>
      <c r="V39" s="2">
        <v>2</v>
      </c>
      <c r="W39" s="2">
        <v>1</v>
      </c>
      <c r="X39" s="109">
        <v>21</v>
      </c>
    </row>
    <row r="40" spans="2:24" x14ac:dyDescent="0.25">
      <c r="B40">
        <v>20110299</v>
      </c>
      <c r="C40" s="103">
        <v>4295</v>
      </c>
      <c r="D40" s="108">
        <v>4065.7</v>
      </c>
      <c r="E40" s="99">
        <v>1.39064E-4</v>
      </c>
      <c r="F40" s="99">
        <v>1.6070400000000001E-4</v>
      </c>
      <c r="G40" s="132">
        <v>1.17434E-4</v>
      </c>
      <c r="H40" s="133">
        <v>1.20501E-4</v>
      </c>
      <c r="I40" s="99">
        <v>9.8762899999999996E-5</v>
      </c>
      <c r="J40" s="133">
        <v>1.00238E-4</v>
      </c>
      <c r="K40" s="99">
        <v>5.3360499999999998E-5</v>
      </c>
      <c r="L40" s="116">
        <v>5.3029199999999997E-5</v>
      </c>
      <c r="M40" s="2">
        <v>0</v>
      </c>
      <c r="N40" s="2">
        <v>28</v>
      </c>
      <c r="O40" s="2">
        <v>46</v>
      </c>
      <c r="P40" s="126">
        <v>1</v>
      </c>
      <c r="Q40" s="106">
        <v>3</v>
      </c>
      <c r="R40" s="127">
        <v>31</v>
      </c>
      <c r="S40" s="2">
        <v>0</v>
      </c>
      <c r="T40" s="2">
        <v>1</v>
      </c>
      <c r="U40" s="127">
        <v>24</v>
      </c>
      <c r="V40" s="2">
        <v>1</v>
      </c>
      <c r="W40" s="2">
        <v>0</v>
      </c>
      <c r="X40" s="109">
        <v>11</v>
      </c>
    </row>
    <row r="41" spans="2:24" x14ac:dyDescent="0.25">
      <c r="B41">
        <v>20110402</v>
      </c>
      <c r="C41" s="103">
        <v>897</v>
      </c>
      <c r="D41" s="108">
        <v>881.3</v>
      </c>
      <c r="E41" s="99">
        <v>4.68493E-4</v>
      </c>
      <c r="F41" s="99">
        <v>5.1560799999999997E-4</v>
      </c>
      <c r="G41" s="132">
        <v>4.68493E-4</v>
      </c>
      <c r="H41" s="133">
        <v>5.0765300000000005E-4</v>
      </c>
      <c r="I41" s="99">
        <v>4.6165300000000002E-4</v>
      </c>
      <c r="J41" s="133">
        <v>4.8328899999999997E-4</v>
      </c>
      <c r="K41" s="99">
        <v>4.0351900000000002E-4</v>
      </c>
      <c r="L41" s="116">
        <v>4.1119399999999998E-4</v>
      </c>
      <c r="M41" s="2">
        <v>0</v>
      </c>
      <c r="N41" s="2">
        <v>20</v>
      </c>
      <c r="O41" s="2">
        <v>40</v>
      </c>
      <c r="P41" s="126">
        <v>0</v>
      </c>
      <c r="Q41" s="106">
        <v>16</v>
      </c>
      <c r="R41" s="127">
        <v>40</v>
      </c>
      <c r="S41" s="2">
        <v>0</v>
      </c>
      <c r="T41" s="2">
        <v>7</v>
      </c>
      <c r="U41" s="127">
        <v>38</v>
      </c>
      <c r="V41" s="2">
        <v>0</v>
      </c>
      <c r="W41" s="2">
        <v>1</v>
      </c>
      <c r="X41" s="109">
        <v>26</v>
      </c>
    </row>
    <row r="42" spans="2:24" x14ac:dyDescent="0.25">
      <c r="B42">
        <v>20110602</v>
      </c>
      <c r="C42" s="103">
        <v>10500.1</v>
      </c>
      <c r="D42" s="108">
        <v>5130.3</v>
      </c>
      <c r="E42" s="99">
        <v>2.35756E-4</v>
      </c>
      <c r="F42" s="99">
        <v>3.01864E-4</v>
      </c>
      <c r="G42" s="132">
        <v>2.02535E-4</v>
      </c>
      <c r="H42" s="133">
        <v>2.6043600000000001E-4</v>
      </c>
      <c r="I42" s="99">
        <v>1.5554300000000001E-4</v>
      </c>
      <c r="J42" s="133">
        <v>2.2028999999999999E-4</v>
      </c>
      <c r="K42" s="99">
        <v>7.0363600000000005E-5</v>
      </c>
      <c r="L42" s="116">
        <v>1.4068199999999999E-4</v>
      </c>
      <c r="M42" s="2">
        <v>6</v>
      </c>
      <c r="N42" s="2">
        <v>25</v>
      </c>
      <c r="O42" s="2">
        <v>88</v>
      </c>
      <c r="P42" s="126">
        <v>4</v>
      </c>
      <c r="Q42" s="106">
        <v>9</v>
      </c>
      <c r="R42" s="127">
        <v>59</v>
      </c>
      <c r="S42" s="2">
        <v>2</v>
      </c>
      <c r="T42" s="2">
        <v>4</v>
      </c>
      <c r="U42" s="127">
        <v>43</v>
      </c>
      <c r="V42" s="2">
        <v>0</v>
      </c>
      <c r="W42" s="2">
        <v>3</v>
      </c>
      <c r="X42" s="109">
        <v>20</v>
      </c>
    </row>
    <row r="43" spans="2:24" x14ac:dyDescent="0.25">
      <c r="B43">
        <v>20110619</v>
      </c>
      <c r="C43" s="103">
        <v>2581.1999999999998</v>
      </c>
      <c r="D43" s="108">
        <v>2551.6999999999998</v>
      </c>
      <c r="E43" s="99">
        <v>1.0135400000000001E-3</v>
      </c>
      <c r="F43" s="99">
        <v>8.8117299999999996E-4</v>
      </c>
      <c r="G43" s="132">
        <v>1.0045399999999999E-3</v>
      </c>
      <c r="H43" s="133">
        <v>8.3068300000000003E-4</v>
      </c>
      <c r="I43" s="99">
        <v>9.6820999999999995E-4</v>
      </c>
      <c r="J43" s="133">
        <v>7.9290199999999995E-4</v>
      </c>
      <c r="K43" s="99">
        <v>9.0811099999999997E-4</v>
      </c>
      <c r="L43" s="116">
        <v>7.3021800000000003E-4</v>
      </c>
      <c r="M43" s="2">
        <v>2</v>
      </c>
      <c r="N43" s="2">
        <v>47</v>
      </c>
      <c r="O43" s="2">
        <v>62</v>
      </c>
      <c r="P43" s="126">
        <v>3</v>
      </c>
      <c r="Q43" s="106">
        <v>11</v>
      </c>
      <c r="R43" s="127">
        <v>56</v>
      </c>
      <c r="S43" s="2">
        <v>2</v>
      </c>
      <c r="T43" s="2">
        <v>5</v>
      </c>
      <c r="U43" s="127">
        <v>42</v>
      </c>
      <c r="V43" s="2">
        <v>2</v>
      </c>
      <c r="W43" s="2">
        <v>0</v>
      </c>
      <c r="X43" s="109">
        <v>29</v>
      </c>
    </row>
    <row r="44" spans="2:24" x14ac:dyDescent="0.25">
      <c r="B44">
        <v>20110891</v>
      </c>
      <c r="C44" s="103">
        <v>232.1</v>
      </c>
      <c r="D44" s="108">
        <v>231.4</v>
      </c>
      <c r="E44" s="99">
        <v>6.8532800000000002E-4</v>
      </c>
      <c r="F44" s="99">
        <v>7.5759299999999998E-4</v>
      </c>
      <c r="G44" s="132">
        <v>6.8532800000000002E-4</v>
      </c>
      <c r="H44" s="133">
        <v>7.5759299999999998E-4</v>
      </c>
      <c r="I44" s="99">
        <v>6.8532800000000002E-4</v>
      </c>
      <c r="J44" s="133">
        <v>7.5380499999999997E-4</v>
      </c>
      <c r="K44" s="99">
        <v>6.8532800000000002E-4</v>
      </c>
      <c r="L44" s="116">
        <v>7.3486500000000002E-4</v>
      </c>
      <c r="M44" s="2">
        <v>1</v>
      </c>
      <c r="N44" s="2">
        <v>36</v>
      </c>
      <c r="O44" s="2">
        <v>11</v>
      </c>
      <c r="P44" s="126">
        <v>1</v>
      </c>
      <c r="Q44" s="106">
        <v>36</v>
      </c>
      <c r="R44" s="127">
        <v>11</v>
      </c>
      <c r="S44" s="2">
        <v>1</v>
      </c>
      <c r="T44" s="2">
        <v>35</v>
      </c>
      <c r="U44" s="127">
        <v>11</v>
      </c>
      <c r="V44" s="2">
        <v>1</v>
      </c>
      <c r="W44" s="2">
        <v>30</v>
      </c>
      <c r="X44" s="109">
        <v>11</v>
      </c>
    </row>
    <row r="45" spans="2:24" x14ac:dyDescent="0.25">
      <c r="B45">
        <v>20111053</v>
      </c>
      <c r="C45" s="103">
        <v>31354.9</v>
      </c>
      <c r="D45" s="108">
        <v>7172.6</v>
      </c>
      <c r="E45" s="99">
        <v>3.0928600000000001E-5</v>
      </c>
      <c r="F45" s="99">
        <v>6.7510700000000004E-5</v>
      </c>
      <c r="G45" s="132">
        <v>1.6729099999999999E-5</v>
      </c>
      <c r="H45" s="133">
        <v>4.0934099999999998E-5</v>
      </c>
      <c r="I45" s="99">
        <v>1.4856400000000001E-5</v>
      </c>
      <c r="J45" s="133">
        <v>3.1647599999999998E-5</v>
      </c>
      <c r="K45" s="99">
        <v>1.18655E-5</v>
      </c>
      <c r="L45" s="116">
        <v>2.8042899999999999E-5</v>
      </c>
      <c r="M45" s="2">
        <v>17</v>
      </c>
      <c r="N45" s="2">
        <v>26</v>
      </c>
      <c r="O45" s="2">
        <v>28</v>
      </c>
      <c r="P45" s="126">
        <v>0</v>
      </c>
      <c r="Q45" s="106">
        <v>1</v>
      </c>
      <c r="R45" s="127">
        <v>8</v>
      </c>
      <c r="S45" s="2">
        <v>0</v>
      </c>
      <c r="T45" s="2">
        <v>0</v>
      </c>
      <c r="U45" s="127">
        <v>3</v>
      </c>
      <c r="V45" s="2">
        <v>0</v>
      </c>
      <c r="W45" s="2">
        <v>0</v>
      </c>
      <c r="X45" s="109">
        <v>2</v>
      </c>
    </row>
    <row r="46" spans="2:24" x14ac:dyDescent="0.25">
      <c r="B46">
        <v>20111249</v>
      </c>
      <c r="C46" s="103">
        <v>3688.9</v>
      </c>
      <c r="D46" s="108">
        <v>3662.3</v>
      </c>
      <c r="E46" s="99">
        <v>8.4402000000000001E-4</v>
      </c>
      <c r="F46" s="99">
        <v>8.5648300000000001E-4</v>
      </c>
      <c r="G46" s="132">
        <v>8.4081300000000004E-4</v>
      </c>
      <c r="H46" s="133">
        <v>8.38056E-4</v>
      </c>
      <c r="I46" s="99">
        <v>8.2691399999999999E-4</v>
      </c>
      <c r="J46" s="133">
        <v>8.24415E-4</v>
      </c>
      <c r="K46" s="99">
        <v>8.2691399999999999E-4</v>
      </c>
      <c r="L46" s="116">
        <v>8.24415E-4</v>
      </c>
      <c r="M46" s="2">
        <v>0</v>
      </c>
      <c r="N46" s="2">
        <v>21</v>
      </c>
      <c r="O46" s="2">
        <v>30</v>
      </c>
      <c r="P46" s="126">
        <v>1</v>
      </c>
      <c r="Q46" s="106">
        <v>1</v>
      </c>
      <c r="R46" s="127">
        <v>26</v>
      </c>
      <c r="S46" s="2">
        <v>0</v>
      </c>
      <c r="T46" s="2">
        <v>0</v>
      </c>
      <c r="U46" s="127">
        <v>18</v>
      </c>
      <c r="V46" s="2">
        <v>0</v>
      </c>
      <c r="W46" s="2">
        <v>0</v>
      </c>
      <c r="X46" s="109">
        <v>18</v>
      </c>
    </row>
    <row r="47" spans="2:24" x14ac:dyDescent="0.25">
      <c r="B47">
        <v>20111347</v>
      </c>
      <c r="C47" s="103">
        <v>33924</v>
      </c>
      <c r="D47" s="108">
        <v>7712.9</v>
      </c>
      <c r="E47" s="99">
        <v>5.4163000000000003E-5</v>
      </c>
      <c r="F47" s="99">
        <v>5.42018E-5</v>
      </c>
      <c r="G47" s="132">
        <v>1.82395E-5</v>
      </c>
      <c r="H47" s="133">
        <v>2.36352E-5</v>
      </c>
      <c r="I47" s="99">
        <v>4.3531900000000002E-6</v>
      </c>
      <c r="J47" s="136">
        <v>3.97707E-6</v>
      </c>
      <c r="K47" s="100">
        <v>9.9999999999999995E-7</v>
      </c>
      <c r="L47" s="118">
        <v>9.9999999999999995E-7</v>
      </c>
      <c r="M47" s="2">
        <v>23</v>
      </c>
      <c r="N47" s="2">
        <v>15</v>
      </c>
      <c r="O47" s="2">
        <v>49</v>
      </c>
      <c r="P47" s="126">
        <v>0</v>
      </c>
      <c r="Q47" s="106">
        <v>3</v>
      </c>
      <c r="R47" s="127">
        <v>10</v>
      </c>
      <c r="S47" s="2">
        <v>0</v>
      </c>
      <c r="T47" s="2">
        <v>0</v>
      </c>
      <c r="U47" s="127">
        <v>1</v>
      </c>
      <c r="V47" s="2">
        <v>0</v>
      </c>
      <c r="W47" s="2">
        <v>0</v>
      </c>
      <c r="X47" s="109">
        <v>0</v>
      </c>
    </row>
    <row r="48" spans="2:24" x14ac:dyDescent="0.25">
      <c r="B48">
        <v>20120568</v>
      </c>
      <c r="C48" s="103">
        <v>13776.1</v>
      </c>
      <c r="D48" s="108">
        <v>7142.9</v>
      </c>
      <c r="E48" s="99">
        <v>1.10666E-4</v>
      </c>
      <c r="F48" s="99">
        <v>8.7974399999999996E-5</v>
      </c>
      <c r="G48" s="132">
        <v>1.02014E-4</v>
      </c>
      <c r="H48" s="133">
        <v>7.5704599999999993E-5</v>
      </c>
      <c r="I48" s="99">
        <v>1.02014E-4</v>
      </c>
      <c r="J48" s="133">
        <v>7.5704599999999993E-5</v>
      </c>
      <c r="K48" s="99">
        <v>9.7751199999999993E-5</v>
      </c>
      <c r="L48" s="116">
        <v>7.2637200000000003E-5</v>
      </c>
      <c r="M48" s="2">
        <v>3</v>
      </c>
      <c r="N48" s="2">
        <v>8</v>
      </c>
      <c r="O48" s="2">
        <v>13</v>
      </c>
      <c r="P48" s="126">
        <v>0</v>
      </c>
      <c r="Q48" s="106">
        <v>0</v>
      </c>
      <c r="R48" s="127">
        <v>3</v>
      </c>
      <c r="S48" s="2">
        <v>0</v>
      </c>
      <c r="T48" s="2">
        <v>0</v>
      </c>
      <c r="U48" s="127">
        <v>3</v>
      </c>
      <c r="V48" s="2">
        <v>0</v>
      </c>
      <c r="W48" s="2">
        <v>0</v>
      </c>
      <c r="X48" s="109">
        <v>2</v>
      </c>
    </row>
    <row r="49" spans="1:24" x14ac:dyDescent="0.25">
      <c r="B49">
        <v>20121119</v>
      </c>
      <c r="C49" s="103">
        <v>837</v>
      </c>
      <c r="D49" s="108">
        <v>829.2</v>
      </c>
      <c r="E49" s="99">
        <v>1.35344E-3</v>
      </c>
      <c r="F49" s="99">
        <v>1.2381600000000001E-3</v>
      </c>
      <c r="G49" s="132">
        <v>1.35344E-3</v>
      </c>
      <c r="H49" s="133">
        <v>1.2275999999999999E-3</v>
      </c>
      <c r="I49" s="99">
        <v>1.35344E-3</v>
      </c>
      <c r="J49" s="133">
        <v>1.20857E-3</v>
      </c>
      <c r="K49" s="99">
        <v>1.3414E-3</v>
      </c>
      <c r="L49" s="116">
        <v>1.1884899999999999E-3</v>
      </c>
      <c r="M49" s="2">
        <v>1</v>
      </c>
      <c r="N49" s="2">
        <v>19</v>
      </c>
      <c r="O49" s="2">
        <v>39</v>
      </c>
      <c r="P49" s="126">
        <v>1</v>
      </c>
      <c r="Q49" s="106">
        <v>13</v>
      </c>
      <c r="R49" s="127">
        <v>39</v>
      </c>
      <c r="S49" s="2">
        <v>1</v>
      </c>
      <c r="T49" s="2">
        <v>5</v>
      </c>
      <c r="U49" s="127">
        <v>39</v>
      </c>
      <c r="V49" s="2">
        <v>1</v>
      </c>
      <c r="W49" s="2">
        <v>1</v>
      </c>
      <c r="X49" s="109">
        <v>35</v>
      </c>
    </row>
    <row r="50" spans="1:24" x14ac:dyDescent="0.25">
      <c r="B50">
        <v>20121257</v>
      </c>
      <c r="C50" s="103">
        <v>2354</v>
      </c>
      <c r="D50" s="108">
        <v>2330.6</v>
      </c>
      <c r="E50" s="99">
        <v>3.6132500000000001E-4</v>
      </c>
      <c r="F50" s="99">
        <v>3.6081999999999998E-4</v>
      </c>
      <c r="G50" s="132">
        <v>3.5927799999999998E-4</v>
      </c>
      <c r="H50" s="133">
        <v>3.3656499999999999E-4</v>
      </c>
      <c r="I50" s="99">
        <v>3.46619E-4</v>
      </c>
      <c r="J50" s="133">
        <v>3.2641199999999999E-4</v>
      </c>
      <c r="K50" s="99">
        <v>3.1162200000000001E-4</v>
      </c>
      <c r="L50" s="116">
        <v>2.9256699999999998E-4</v>
      </c>
      <c r="M50" s="2">
        <v>1</v>
      </c>
      <c r="N50" s="2">
        <v>21</v>
      </c>
      <c r="O50" s="2">
        <v>42</v>
      </c>
      <c r="P50" s="126">
        <v>3</v>
      </c>
      <c r="Q50" s="106">
        <v>3</v>
      </c>
      <c r="R50" s="127">
        <v>39</v>
      </c>
      <c r="S50" s="2">
        <v>2</v>
      </c>
      <c r="T50" s="2">
        <v>2</v>
      </c>
      <c r="U50" s="127">
        <v>35</v>
      </c>
      <c r="V50" s="2">
        <v>1</v>
      </c>
      <c r="W50" s="2">
        <v>1</v>
      </c>
      <c r="X50" s="109">
        <v>29</v>
      </c>
    </row>
    <row r="51" spans="1:24" x14ac:dyDescent="0.25">
      <c r="C51" s="105"/>
      <c r="D51" s="109"/>
      <c r="E51" s="2"/>
      <c r="F51" s="2"/>
      <c r="G51" s="126"/>
      <c r="H51" s="127"/>
      <c r="I51" s="2"/>
      <c r="J51" s="127"/>
      <c r="K51" s="2"/>
      <c r="L51" s="109"/>
      <c r="M51" s="2"/>
      <c r="N51" s="2"/>
      <c r="O51" s="2"/>
      <c r="P51" s="126"/>
      <c r="Q51" s="106"/>
      <c r="R51" s="127"/>
      <c r="S51" s="2"/>
      <c r="T51" s="2"/>
      <c r="U51" s="127"/>
      <c r="V51" s="2"/>
      <c r="W51" s="2"/>
      <c r="X51" s="109"/>
    </row>
    <row r="52" spans="1:24" x14ac:dyDescent="0.25">
      <c r="A52" t="s">
        <v>1111</v>
      </c>
      <c r="B52">
        <v>20094785</v>
      </c>
      <c r="C52" s="103">
        <v>57327.7</v>
      </c>
      <c r="D52" s="108">
        <v>7694.8</v>
      </c>
      <c r="E52" s="99">
        <v>1.80261E-4</v>
      </c>
      <c r="F52" s="99">
        <v>1.8284900000000001E-4</v>
      </c>
      <c r="G52" s="132">
        <v>1.7248099999999999E-4</v>
      </c>
      <c r="H52" s="133">
        <v>1.7686399999999999E-4</v>
      </c>
      <c r="I52" s="99">
        <v>1.6971600000000001E-4</v>
      </c>
      <c r="J52" s="133">
        <v>1.7531E-4</v>
      </c>
      <c r="K52" s="99">
        <v>1.51948E-4</v>
      </c>
      <c r="L52" s="116">
        <v>1.48892E-4</v>
      </c>
      <c r="M52" s="2">
        <v>13</v>
      </c>
      <c r="N52" s="2">
        <v>2</v>
      </c>
      <c r="O52" s="2">
        <v>27</v>
      </c>
      <c r="P52" s="126">
        <v>1</v>
      </c>
      <c r="Q52" s="106">
        <v>0</v>
      </c>
      <c r="R52" s="127">
        <v>18</v>
      </c>
      <c r="S52" s="2">
        <v>0</v>
      </c>
      <c r="T52" s="2">
        <v>0</v>
      </c>
      <c r="U52" s="127">
        <v>17</v>
      </c>
      <c r="V52" s="2">
        <v>2</v>
      </c>
      <c r="W52" s="2">
        <v>0</v>
      </c>
      <c r="X52" s="109">
        <v>10</v>
      </c>
    </row>
    <row r="53" spans="1:24" x14ac:dyDescent="0.25">
      <c r="B53">
        <v>20095121</v>
      </c>
      <c r="C53" s="103">
        <v>356.5</v>
      </c>
      <c r="D53" s="108">
        <v>353.6</v>
      </c>
      <c r="E53" s="99">
        <v>1.3217400000000001E-3</v>
      </c>
      <c r="F53" s="99">
        <v>9.945799999999999E-4</v>
      </c>
      <c r="G53" s="132">
        <v>1.3217400000000001E-3</v>
      </c>
      <c r="H53" s="133">
        <v>9.945799999999999E-4</v>
      </c>
      <c r="I53" s="99">
        <v>1.3217400000000001E-3</v>
      </c>
      <c r="J53" s="133">
        <v>9.945799999999999E-4</v>
      </c>
      <c r="K53" s="99">
        <v>1.3217400000000001E-3</v>
      </c>
      <c r="L53" s="116">
        <v>9.7829600000000003E-4</v>
      </c>
      <c r="M53" s="2">
        <v>1</v>
      </c>
      <c r="N53" s="2">
        <v>6</v>
      </c>
      <c r="O53" s="2">
        <v>17</v>
      </c>
      <c r="P53" s="126">
        <v>1</v>
      </c>
      <c r="Q53" s="106">
        <v>6</v>
      </c>
      <c r="R53" s="127">
        <v>17</v>
      </c>
      <c r="S53" s="2">
        <v>1</v>
      </c>
      <c r="T53" s="2">
        <v>6</v>
      </c>
      <c r="U53" s="127">
        <v>17</v>
      </c>
      <c r="V53" s="2">
        <v>2</v>
      </c>
      <c r="W53" s="2">
        <v>4</v>
      </c>
      <c r="X53" s="109">
        <v>16</v>
      </c>
    </row>
    <row r="54" spans="1:24" x14ac:dyDescent="0.25">
      <c r="B54">
        <v>20095236</v>
      </c>
      <c r="C54" s="103">
        <v>1364.5</v>
      </c>
      <c r="D54" s="108">
        <v>1354.4</v>
      </c>
      <c r="E54" s="99">
        <v>9.0746200000000005E-4</v>
      </c>
      <c r="F54" s="99">
        <v>9.4729899999999997E-4</v>
      </c>
      <c r="G54" s="132">
        <v>9.0746200000000005E-4</v>
      </c>
      <c r="H54" s="133">
        <v>9.2833399999999995E-4</v>
      </c>
      <c r="I54" s="99">
        <v>8.9804900000000005E-4</v>
      </c>
      <c r="J54" s="133">
        <v>9.1688900000000005E-4</v>
      </c>
      <c r="K54" s="99">
        <v>8.6624300000000005E-4</v>
      </c>
      <c r="L54" s="116">
        <v>8.8288199999999998E-4</v>
      </c>
      <c r="M54" s="2">
        <v>0</v>
      </c>
      <c r="N54" s="2">
        <v>20</v>
      </c>
      <c r="O54" s="2">
        <v>27</v>
      </c>
      <c r="P54" s="126">
        <v>0</v>
      </c>
      <c r="Q54" s="106">
        <v>8</v>
      </c>
      <c r="R54" s="127">
        <v>27</v>
      </c>
      <c r="S54" s="2">
        <v>0</v>
      </c>
      <c r="T54" s="2">
        <v>6</v>
      </c>
      <c r="U54" s="127">
        <v>24</v>
      </c>
      <c r="V54" s="2">
        <v>0</v>
      </c>
      <c r="W54" s="2">
        <v>3</v>
      </c>
      <c r="X54" s="109">
        <v>18</v>
      </c>
    </row>
    <row r="55" spans="1:24" x14ac:dyDescent="0.25">
      <c r="B55">
        <v>20095267</v>
      </c>
      <c r="C55" s="103">
        <v>351.1</v>
      </c>
      <c r="D55" s="108">
        <v>347.7</v>
      </c>
      <c r="E55" s="99">
        <v>1.78885E-3</v>
      </c>
      <c r="F55" s="99">
        <v>1.85315E-3</v>
      </c>
      <c r="G55" s="132">
        <v>1.78885E-3</v>
      </c>
      <c r="H55" s="133">
        <v>1.85315E-3</v>
      </c>
      <c r="I55" s="99">
        <v>1.78885E-3</v>
      </c>
      <c r="J55" s="133">
        <v>1.85315E-3</v>
      </c>
      <c r="K55" s="99">
        <v>1.78129E-3</v>
      </c>
      <c r="L55" s="116">
        <v>1.8073E-3</v>
      </c>
      <c r="M55" s="2">
        <v>0</v>
      </c>
      <c r="N55" s="2">
        <v>20</v>
      </c>
      <c r="O55" s="2">
        <v>21</v>
      </c>
      <c r="P55" s="126">
        <v>0</v>
      </c>
      <c r="Q55" s="106">
        <v>20</v>
      </c>
      <c r="R55" s="127">
        <v>21</v>
      </c>
      <c r="S55" s="2">
        <v>0</v>
      </c>
      <c r="T55" s="2">
        <v>20</v>
      </c>
      <c r="U55" s="127">
        <v>21</v>
      </c>
      <c r="V55" s="2">
        <v>1</v>
      </c>
      <c r="W55" s="2">
        <v>12</v>
      </c>
      <c r="X55" s="109">
        <v>19</v>
      </c>
    </row>
    <row r="56" spans="1:24" x14ac:dyDescent="0.25">
      <c r="B56">
        <v>20095383</v>
      </c>
      <c r="C56" s="103">
        <v>26916.5</v>
      </c>
      <c r="D56" s="108">
        <v>7643.1</v>
      </c>
      <c r="E56" s="99">
        <v>5.37535E-5</v>
      </c>
      <c r="F56" s="99">
        <v>5.1801700000000002E-5</v>
      </c>
      <c r="G56" s="132">
        <v>4.59381E-5</v>
      </c>
      <c r="H56" s="133">
        <v>4.2936299999999998E-5</v>
      </c>
      <c r="I56" s="99">
        <v>4.59381E-5</v>
      </c>
      <c r="J56" s="133">
        <v>4.2936299999999998E-5</v>
      </c>
      <c r="K56" s="99">
        <v>4.59381E-5</v>
      </c>
      <c r="L56" s="116">
        <v>3.4244700000000001E-5</v>
      </c>
      <c r="M56" s="2">
        <v>3</v>
      </c>
      <c r="N56" s="2">
        <v>4</v>
      </c>
      <c r="O56" s="2">
        <v>19</v>
      </c>
      <c r="P56" s="126">
        <v>0</v>
      </c>
      <c r="Q56" s="106">
        <v>0</v>
      </c>
      <c r="R56" s="127">
        <v>8</v>
      </c>
      <c r="S56" s="2">
        <v>0</v>
      </c>
      <c r="T56" s="2">
        <v>0</v>
      </c>
      <c r="U56" s="127">
        <v>8</v>
      </c>
      <c r="V56" s="2">
        <v>2</v>
      </c>
      <c r="W56" s="2">
        <v>0</v>
      </c>
      <c r="X56" s="109">
        <v>6</v>
      </c>
    </row>
    <row r="57" spans="1:24" x14ac:dyDescent="0.25">
      <c r="B57">
        <v>20095452</v>
      </c>
      <c r="C57" s="103">
        <v>1812.2</v>
      </c>
      <c r="D57" s="108">
        <v>1802.1</v>
      </c>
      <c r="E57" s="99">
        <v>9.3111500000000005E-5</v>
      </c>
      <c r="F57" s="99">
        <v>1.1919200000000001E-4</v>
      </c>
      <c r="G57" s="132">
        <v>8.5779900000000002E-5</v>
      </c>
      <c r="H57" s="133">
        <v>8.9455699999999998E-5</v>
      </c>
      <c r="I57" s="99">
        <v>6.2807500000000005E-5</v>
      </c>
      <c r="J57" s="133">
        <v>6.5617299999999999E-5</v>
      </c>
      <c r="K57" s="99">
        <v>3.8124399999999997E-5</v>
      </c>
      <c r="L57" s="116">
        <v>4.12873E-5</v>
      </c>
      <c r="M57" s="2">
        <v>0</v>
      </c>
      <c r="N57" s="2">
        <v>20</v>
      </c>
      <c r="O57" s="2">
        <v>21</v>
      </c>
      <c r="P57" s="126">
        <v>1</v>
      </c>
      <c r="Q57" s="106">
        <v>7</v>
      </c>
      <c r="R57" s="127">
        <v>17</v>
      </c>
      <c r="S57" s="2">
        <v>0</v>
      </c>
      <c r="T57" s="2">
        <v>4</v>
      </c>
      <c r="U57" s="127">
        <v>11</v>
      </c>
      <c r="V57" s="2">
        <v>0</v>
      </c>
      <c r="W57" s="2">
        <v>4</v>
      </c>
      <c r="X57" s="109">
        <v>7</v>
      </c>
    </row>
    <row r="58" spans="1:24" x14ac:dyDescent="0.25">
      <c r="B58">
        <v>20095501</v>
      </c>
      <c r="C58" s="103">
        <v>7469.7</v>
      </c>
      <c r="D58" s="108">
        <v>6617.1</v>
      </c>
      <c r="E58" s="99">
        <v>4.2516100000000002E-4</v>
      </c>
      <c r="F58" s="99">
        <v>3.9668100000000002E-4</v>
      </c>
      <c r="G58" s="132">
        <v>4.2439099999999998E-4</v>
      </c>
      <c r="H58" s="133">
        <v>3.9467400000000002E-4</v>
      </c>
      <c r="I58" s="99">
        <v>4.2439099999999998E-4</v>
      </c>
      <c r="J58" s="133">
        <v>3.9246499999999999E-4</v>
      </c>
      <c r="K58" s="99">
        <v>4.1935099999999999E-4</v>
      </c>
      <c r="L58" s="116">
        <v>3.8925199999999998E-4</v>
      </c>
      <c r="M58" s="2">
        <v>0</v>
      </c>
      <c r="N58" s="2">
        <v>2</v>
      </c>
      <c r="O58" s="2">
        <v>9</v>
      </c>
      <c r="P58" s="126">
        <v>0</v>
      </c>
      <c r="Q58" s="106">
        <v>0</v>
      </c>
      <c r="R58" s="127">
        <v>8</v>
      </c>
      <c r="S58" s="2">
        <v>1</v>
      </c>
      <c r="T58" s="2">
        <v>0</v>
      </c>
      <c r="U58" s="127">
        <v>7</v>
      </c>
      <c r="V58" s="2">
        <v>0</v>
      </c>
      <c r="W58" s="2">
        <v>0</v>
      </c>
      <c r="X58" s="109">
        <v>6</v>
      </c>
    </row>
    <row r="59" spans="1:24" x14ac:dyDescent="0.25">
      <c r="B59">
        <v>20095509</v>
      </c>
      <c r="C59" s="103">
        <v>13280.6</v>
      </c>
      <c r="D59" s="108">
        <v>7393</v>
      </c>
      <c r="E59" s="99">
        <v>5.67236E-5</v>
      </c>
      <c r="F59" s="99">
        <v>6.0143199999999997E-5</v>
      </c>
      <c r="G59" s="132">
        <v>4.6319300000000002E-5</v>
      </c>
      <c r="H59" s="133">
        <v>5.1876499999999997E-5</v>
      </c>
      <c r="I59" s="99">
        <v>3.3280500000000001E-5</v>
      </c>
      <c r="J59" s="133">
        <v>3.8877400000000002E-5</v>
      </c>
      <c r="K59" s="99">
        <v>2.7678200000000001E-6</v>
      </c>
      <c r="L59" s="116">
        <v>4.85219E-6</v>
      </c>
      <c r="M59" s="2">
        <v>0</v>
      </c>
      <c r="N59" s="2">
        <v>3</v>
      </c>
      <c r="O59" s="2">
        <v>29</v>
      </c>
      <c r="P59" s="126">
        <v>0</v>
      </c>
      <c r="Q59" s="106">
        <v>2</v>
      </c>
      <c r="R59" s="127">
        <v>17</v>
      </c>
      <c r="S59" s="2">
        <v>0</v>
      </c>
      <c r="T59" s="2">
        <v>2</v>
      </c>
      <c r="U59" s="127">
        <v>10</v>
      </c>
      <c r="V59" s="2">
        <v>0</v>
      </c>
      <c r="W59" s="2">
        <v>0</v>
      </c>
      <c r="X59" s="109">
        <v>1</v>
      </c>
    </row>
    <row r="60" spans="1:24" x14ac:dyDescent="0.25">
      <c r="B60">
        <v>20095510</v>
      </c>
      <c r="C60" s="103">
        <v>312.2</v>
      </c>
      <c r="D60" s="108">
        <v>308.60000000000002</v>
      </c>
      <c r="E60" s="99">
        <v>1.5223299999999999E-3</v>
      </c>
      <c r="F60" s="99">
        <v>1.5468400000000001E-3</v>
      </c>
      <c r="G60" s="132">
        <v>1.5223299999999999E-3</v>
      </c>
      <c r="H60" s="133">
        <v>1.5468400000000001E-3</v>
      </c>
      <c r="I60" s="99">
        <v>1.5223299999999999E-3</v>
      </c>
      <c r="J60" s="133">
        <v>1.5468400000000001E-3</v>
      </c>
      <c r="K60" s="99">
        <v>1.50673E-3</v>
      </c>
      <c r="L60" s="116">
        <v>1.5138300000000001E-3</v>
      </c>
      <c r="M60" s="2">
        <v>0</v>
      </c>
      <c r="N60" s="2">
        <v>3</v>
      </c>
      <c r="O60" s="2">
        <v>19</v>
      </c>
      <c r="P60" s="126">
        <v>0</v>
      </c>
      <c r="Q60" s="106">
        <v>3</v>
      </c>
      <c r="R60" s="127">
        <v>19</v>
      </c>
      <c r="S60" s="2">
        <v>0</v>
      </c>
      <c r="T60" s="2">
        <v>3</v>
      </c>
      <c r="U60" s="127">
        <v>19</v>
      </c>
      <c r="V60" s="2">
        <v>1</v>
      </c>
      <c r="W60" s="2">
        <v>1</v>
      </c>
      <c r="X60" s="109">
        <v>16</v>
      </c>
    </row>
    <row r="61" spans="1:24" x14ac:dyDescent="0.25">
      <c r="B61">
        <v>20096069</v>
      </c>
      <c r="C61" s="103">
        <v>1199.0999999999999</v>
      </c>
      <c r="D61" s="108">
        <v>1189.4000000000001</v>
      </c>
      <c r="E61" s="99">
        <v>8.1989299999999998E-5</v>
      </c>
      <c r="F61" s="99">
        <v>9.6068800000000004E-5</v>
      </c>
      <c r="G61" s="132">
        <v>7.9404000000000001E-5</v>
      </c>
      <c r="H61" s="133">
        <v>8.6015100000000003E-5</v>
      </c>
      <c r="I61" s="99">
        <v>6.1307299999999995E-5</v>
      </c>
      <c r="J61" s="133">
        <v>6.6279999999999996E-5</v>
      </c>
      <c r="K61" s="99">
        <v>4.0625299999999999E-5</v>
      </c>
      <c r="L61" s="116">
        <v>3.4257100000000001E-5</v>
      </c>
      <c r="M61" s="2">
        <v>0</v>
      </c>
      <c r="N61" s="2">
        <v>9</v>
      </c>
      <c r="O61" s="2">
        <v>14</v>
      </c>
      <c r="P61" s="126">
        <v>0</v>
      </c>
      <c r="Q61" s="106">
        <v>5</v>
      </c>
      <c r="R61" s="127">
        <v>13</v>
      </c>
      <c r="S61" s="2">
        <v>0</v>
      </c>
      <c r="T61" s="2">
        <v>4</v>
      </c>
      <c r="U61" s="127">
        <v>9</v>
      </c>
      <c r="V61" s="2">
        <v>1</v>
      </c>
      <c r="W61" s="2">
        <v>0</v>
      </c>
      <c r="X61" s="109">
        <v>3</v>
      </c>
    </row>
    <row r="62" spans="1:24" x14ac:dyDescent="0.25">
      <c r="B62">
        <v>20096074</v>
      </c>
      <c r="C62" s="103">
        <v>30153.9</v>
      </c>
      <c r="D62" s="108">
        <v>7663.3</v>
      </c>
      <c r="E62" s="99">
        <v>7.6107999999999997E-5</v>
      </c>
      <c r="F62" s="99">
        <v>7.9693399999999998E-5</v>
      </c>
      <c r="G62" s="132">
        <v>5.85717E-5</v>
      </c>
      <c r="H62" s="133">
        <v>6.1142600000000006E-5</v>
      </c>
      <c r="I62" s="99">
        <v>5.4400600000000002E-5</v>
      </c>
      <c r="J62" s="133">
        <v>6.1142600000000006E-5</v>
      </c>
      <c r="K62" s="99">
        <v>4.8746099999999997E-5</v>
      </c>
      <c r="L62" s="116">
        <v>5.3976600000000001E-5</v>
      </c>
      <c r="M62" s="2">
        <v>21</v>
      </c>
      <c r="N62" s="2">
        <v>13</v>
      </c>
      <c r="O62" s="2">
        <v>28</v>
      </c>
      <c r="P62" s="126">
        <v>2</v>
      </c>
      <c r="Q62" s="106">
        <v>0</v>
      </c>
      <c r="R62" s="127">
        <v>8</v>
      </c>
      <c r="S62" s="2">
        <v>0</v>
      </c>
      <c r="T62" s="2">
        <v>1</v>
      </c>
      <c r="U62" s="127">
        <v>7</v>
      </c>
      <c r="V62" s="2">
        <v>0</v>
      </c>
      <c r="W62" s="2">
        <v>0</v>
      </c>
      <c r="X62" s="109">
        <v>5</v>
      </c>
    </row>
    <row r="63" spans="1:24" x14ac:dyDescent="0.25">
      <c r="B63">
        <v>20097208</v>
      </c>
      <c r="C63" s="103">
        <v>4129.5</v>
      </c>
      <c r="D63" s="108">
        <v>4107.3</v>
      </c>
      <c r="E63" s="99">
        <v>2.8409099999999999E-4</v>
      </c>
      <c r="F63" s="99">
        <v>2.90155E-4</v>
      </c>
      <c r="G63" s="132">
        <v>2.8248299999999999E-4</v>
      </c>
      <c r="H63" s="133">
        <v>2.82284E-4</v>
      </c>
      <c r="I63" s="99">
        <v>2.8141E-4</v>
      </c>
      <c r="J63" s="133">
        <v>2.8066700000000001E-4</v>
      </c>
      <c r="K63" s="99">
        <v>2.63393E-4</v>
      </c>
      <c r="L63" s="116">
        <v>2.62876E-4</v>
      </c>
      <c r="M63" s="2">
        <v>0</v>
      </c>
      <c r="N63" s="2">
        <v>12</v>
      </c>
      <c r="O63" s="2">
        <v>17</v>
      </c>
      <c r="P63" s="126">
        <v>0</v>
      </c>
      <c r="Q63" s="106">
        <v>1</v>
      </c>
      <c r="R63" s="127">
        <v>15</v>
      </c>
      <c r="S63" s="2">
        <v>0</v>
      </c>
      <c r="T63" s="2">
        <v>0</v>
      </c>
      <c r="U63" s="127">
        <v>14</v>
      </c>
      <c r="V63" s="2">
        <v>0</v>
      </c>
      <c r="W63" s="2">
        <v>0</v>
      </c>
      <c r="X63" s="109">
        <v>7</v>
      </c>
    </row>
    <row r="64" spans="1:24" x14ac:dyDescent="0.25">
      <c r="B64">
        <v>20097214</v>
      </c>
      <c r="C64" s="103">
        <v>5612.8</v>
      </c>
      <c r="D64" s="108">
        <v>5584.9</v>
      </c>
      <c r="E64" s="99">
        <v>1.35241E-4</v>
      </c>
      <c r="F64" s="99">
        <v>1.3861200000000001E-4</v>
      </c>
      <c r="G64" s="132">
        <v>1.3342599999999999E-4</v>
      </c>
      <c r="H64" s="133">
        <v>1.3210899999999999E-4</v>
      </c>
      <c r="I64" s="99">
        <v>1.31927E-4</v>
      </c>
      <c r="J64" s="133">
        <v>1.31316E-4</v>
      </c>
      <c r="K64" s="99">
        <v>1.2648299999999999E-4</v>
      </c>
      <c r="L64" s="116">
        <v>1.25845E-4</v>
      </c>
      <c r="M64" s="2">
        <v>0</v>
      </c>
      <c r="N64" s="2">
        <v>8</v>
      </c>
      <c r="O64" s="2">
        <v>16</v>
      </c>
      <c r="P64" s="126">
        <v>1</v>
      </c>
      <c r="Q64" s="106">
        <v>0</v>
      </c>
      <c r="R64" s="127">
        <v>13</v>
      </c>
      <c r="S64" s="2">
        <v>0</v>
      </c>
      <c r="T64" s="2">
        <v>0</v>
      </c>
      <c r="U64" s="127">
        <v>12</v>
      </c>
      <c r="V64" s="2">
        <v>0</v>
      </c>
      <c r="W64" s="2">
        <v>0</v>
      </c>
      <c r="X64" s="109">
        <v>10</v>
      </c>
    </row>
    <row r="65" spans="2:24" x14ac:dyDescent="0.25">
      <c r="B65">
        <v>20097575</v>
      </c>
      <c r="C65" s="103" t="s">
        <v>49</v>
      </c>
      <c r="D65" s="108" t="s">
        <v>49</v>
      </c>
      <c r="E65" s="99" t="s">
        <v>49</v>
      </c>
      <c r="F65" s="99" t="s">
        <v>49</v>
      </c>
      <c r="G65" s="132" t="s">
        <v>49</v>
      </c>
      <c r="H65" s="133" t="s">
        <v>49</v>
      </c>
      <c r="I65" s="99" t="s">
        <v>49</v>
      </c>
      <c r="J65" s="133" t="s">
        <v>49</v>
      </c>
      <c r="K65" s="99" t="s">
        <v>49</v>
      </c>
      <c r="L65" s="116" t="s">
        <v>49</v>
      </c>
      <c r="M65" s="2" t="s">
        <v>49</v>
      </c>
      <c r="N65" s="2" t="s">
        <v>49</v>
      </c>
      <c r="O65" s="2" t="s">
        <v>49</v>
      </c>
      <c r="P65" s="126" t="s">
        <v>49</v>
      </c>
      <c r="Q65" s="106" t="s">
        <v>49</v>
      </c>
      <c r="R65" s="127" t="s">
        <v>49</v>
      </c>
      <c r="S65" s="2" t="s">
        <v>49</v>
      </c>
      <c r="T65" s="2" t="s">
        <v>49</v>
      </c>
      <c r="U65" s="127" t="s">
        <v>49</v>
      </c>
      <c r="V65" s="2" t="s">
        <v>49</v>
      </c>
      <c r="W65" s="2" t="s">
        <v>49</v>
      </c>
      <c r="X65" s="109" t="s">
        <v>49</v>
      </c>
    </row>
    <row r="66" spans="2:24" x14ac:dyDescent="0.25">
      <c r="B66">
        <v>20097608</v>
      </c>
      <c r="C66" s="103">
        <v>8389</v>
      </c>
      <c r="D66" s="108">
        <v>7098.6</v>
      </c>
      <c r="E66" s="99">
        <v>6.7626000000000006E-5</v>
      </c>
      <c r="F66" s="99">
        <v>6.8752100000000002E-5</v>
      </c>
      <c r="G66" s="132">
        <v>6.1766099999999998E-5</v>
      </c>
      <c r="H66" s="133">
        <v>6.1203099999999997E-5</v>
      </c>
      <c r="I66" s="99">
        <v>5.6381400000000002E-5</v>
      </c>
      <c r="J66" s="133">
        <v>5.5650499999999999E-5</v>
      </c>
      <c r="K66" s="99">
        <v>5.0785499999999997E-5</v>
      </c>
      <c r="L66" s="116">
        <v>5.04099E-5</v>
      </c>
      <c r="M66" s="2">
        <v>0</v>
      </c>
      <c r="N66" s="2">
        <v>4</v>
      </c>
      <c r="O66" s="2">
        <v>18</v>
      </c>
      <c r="P66" s="126">
        <v>0</v>
      </c>
      <c r="Q66" s="106">
        <v>0</v>
      </c>
      <c r="R66" s="127">
        <v>12</v>
      </c>
      <c r="S66" s="2">
        <v>0</v>
      </c>
      <c r="T66" s="2">
        <v>0</v>
      </c>
      <c r="U66" s="127">
        <v>7</v>
      </c>
      <c r="V66" s="2">
        <v>0</v>
      </c>
      <c r="W66" s="2">
        <v>0</v>
      </c>
      <c r="X66" s="109">
        <v>5</v>
      </c>
    </row>
    <row r="67" spans="2:24" x14ac:dyDescent="0.25">
      <c r="B67">
        <v>20097639</v>
      </c>
      <c r="C67" s="103">
        <v>41371.199999999997</v>
      </c>
      <c r="D67" s="108">
        <v>7679.5</v>
      </c>
      <c r="E67" s="99">
        <v>3.0562099999999997E-5</v>
      </c>
      <c r="F67" s="99">
        <v>2.6758400000000001E-5</v>
      </c>
      <c r="G67" s="132">
        <v>2.2008999999999999E-5</v>
      </c>
      <c r="H67" s="133">
        <v>2.18565E-5</v>
      </c>
      <c r="I67" s="99">
        <v>2.2008999999999999E-5</v>
      </c>
      <c r="J67" s="133">
        <v>2.0472500000000001E-5</v>
      </c>
      <c r="K67" s="99">
        <v>2.2008999999999999E-5</v>
      </c>
      <c r="L67" s="116">
        <v>2.0472500000000001E-5</v>
      </c>
      <c r="M67" s="2">
        <v>11</v>
      </c>
      <c r="N67" s="2">
        <v>2</v>
      </c>
      <c r="O67" s="2">
        <v>10</v>
      </c>
      <c r="P67" s="126">
        <v>0</v>
      </c>
      <c r="Q67" s="106">
        <v>1</v>
      </c>
      <c r="R67" s="127">
        <v>1</v>
      </c>
      <c r="S67" s="2">
        <v>0</v>
      </c>
      <c r="T67" s="2">
        <v>0</v>
      </c>
      <c r="U67" s="127">
        <v>1</v>
      </c>
      <c r="V67" s="2">
        <v>0</v>
      </c>
      <c r="W67" s="2">
        <v>0</v>
      </c>
      <c r="X67" s="109">
        <v>1</v>
      </c>
    </row>
    <row r="68" spans="2:24" x14ac:dyDescent="0.25">
      <c r="B68">
        <v>20097661</v>
      </c>
      <c r="C68" s="103">
        <v>3818.4</v>
      </c>
      <c r="D68" s="108">
        <v>3551.4</v>
      </c>
      <c r="E68" s="99">
        <v>5.2076200000000001E-5</v>
      </c>
      <c r="F68" s="99">
        <v>6.0979600000000001E-5</v>
      </c>
      <c r="G68" s="132">
        <v>3.21272E-5</v>
      </c>
      <c r="H68" s="133">
        <v>3.3669700000000001E-5</v>
      </c>
      <c r="I68" s="99">
        <v>3.21272E-5</v>
      </c>
      <c r="J68" s="133">
        <v>3.2796799999999997E-5</v>
      </c>
      <c r="K68" s="99">
        <v>2.9807499999999999E-5</v>
      </c>
      <c r="L68" s="116">
        <v>3.1799199999999999E-5</v>
      </c>
      <c r="M68" s="2">
        <v>2</v>
      </c>
      <c r="N68" s="2">
        <v>17</v>
      </c>
      <c r="O68" s="2">
        <v>16</v>
      </c>
      <c r="P68" s="126">
        <v>1</v>
      </c>
      <c r="Q68" s="106">
        <v>4</v>
      </c>
      <c r="R68" s="127">
        <v>4</v>
      </c>
      <c r="S68" s="2">
        <v>1</v>
      </c>
      <c r="T68" s="2">
        <v>2</v>
      </c>
      <c r="U68" s="127">
        <v>4</v>
      </c>
      <c r="V68" s="2">
        <v>0</v>
      </c>
      <c r="W68" s="2">
        <v>0</v>
      </c>
      <c r="X68" s="109">
        <v>4</v>
      </c>
    </row>
    <row r="69" spans="2:24" x14ac:dyDescent="0.25">
      <c r="B69">
        <v>20100450</v>
      </c>
      <c r="C69" s="103">
        <v>962.3</v>
      </c>
      <c r="D69" s="108">
        <v>957</v>
      </c>
      <c r="E69" s="99">
        <v>5.7065499999999998E-5</v>
      </c>
      <c r="F69" s="99">
        <v>7.1728699999999996E-5</v>
      </c>
      <c r="G69" s="132">
        <v>5.7065499999999998E-5</v>
      </c>
      <c r="H69" s="133">
        <v>5.9696800000000001E-5</v>
      </c>
      <c r="I69" s="99">
        <v>4.6480799999999997E-5</v>
      </c>
      <c r="J69" s="133">
        <v>5.09042E-5</v>
      </c>
      <c r="K69" s="99">
        <v>3.0833800000000003E-5</v>
      </c>
      <c r="L69" s="116">
        <v>3.3319099999999997E-5</v>
      </c>
      <c r="M69" s="2">
        <v>0</v>
      </c>
      <c r="N69" s="2">
        <v>9</v>
      </c>
      <c r="O69" s="2">
        <v>11</v>
      </c>
      <c r="P69" s="126">
        <v>1</v>
      </c>
      <c r="Q69" s="106">
        <v>5</v>
      </c>
      <c r="R69" s="127">
        <v>10</v>
      </c>
      <c r="S69" s="2">
        <v>0</v>
      </c>
      <c r="T69" s="2">
        <v>4</v>
      </c>
      <c r="U69" s="127">
        <v>8</v>
      </c>
      <c r="V69" s="2">
        <v>0</v>
      </c>
      <c r="W69" s="2">
        <v>2</v>
      </c>
      <c r="X69" s="109">
        <v>5</v>
      </c>
    </row>
    <row r="70" spans="2:24" x14ac:dyDescent="0.25">
      <c r="B70">
        <v>20101450</v>
      </c>
      <c r="C70" s="103" t="s">
        <v>49</v>
      </c>
      <c r="D70" s="108" t="s">
        <v>49</v>
      </c>
      <c r="E70" s="99" t="s">
        <v>49</v>
      </c>
      <c r="F70" s="99" t="s">
        <v>49</v>
      </c>
      <c r="G70" s="132" t="s">
        <v>49</v>
      </c>
      <c r="H70" s="133" t="s">
        <v>49</v>
      </c>
      <c r="I70" s="99" t="s">
        <v>49</v>
      </c>
      <c r="J70" s="133" t="s">
        <v>49</v>
      </c>
      <c r="K70" s="99" t="s">
        <v>49</v>
      </c>
      <c r="L70" s="116" t="s">
        <v>49</v>
      </c>
      <c r="M70" s="2" t="s">
        <v>49</v>
      </c>
      <c r="N70" s="2" t="s">
        <v>49</v>
      </c>
      <c r="O70" s="2" t="s">
        <v>49</v>
      </c>
      <c r="P70" s="126" t="s">
        <v>49</v>
      </c>
      <c r="Q70" s="106" t="s">
        <v>49</v>
      </c>
      <c r="R70" s="127" t="s">
        <v>49</v>
      </c>
      <c r="S70" s="2" t="s">
        <v>49</v>
      </c>
      <c r="T70" s="2" t="s">
        <v>49</v>
      </c>
      <c r="U70" s="127" t="s">
        <v>49</v>
      </c>
      <c r="V70" s="2" t="s">
        <v>49</v>
      </c>
      <c r="W70" s="2" t="s">
        <v>49</v>
      </c>
      <c r="X70" s="109" t="s">
        <v>49</v>
      </c>
    </row>
    <row r="71" spans="2:24" x14ac:dyDescent="0.25">
      <c r="B71">
        <v>20101466</v>
      </c>
      <c r="C71" s="103">
        <v>259.2</v>
      </c>
      <c r="D71" s="108">
        <v>257.7</v>
      </c>
      <c r="E71" s="99">
        <v>1.7993600000000001E-3</v>
      </c>
      <c r="F71" s="99">
        <v>1.8866099999999999E-3</v>
      </c>
      <c r="G71" s="132">
        <v>1.7993600000000001E-3</v>
      </c>
      <c r="H71" s="133">
        <v>1.8866099999999999E-3</v>
      </c>
      <c r="I71" s="99">
        <v>1.7993600000000001E-3</v>
      </c>
      <c r="J71" s="133">
        <v>1.8866099999999999E-3</v>
      </c>
      <c r="K71" s="99">
        <v>1.79082E-3</v>
      </c>
      <c r="L71" s="116">
        <v>1.8299099999999999E-3</v>
      </c>
      <c r="M71" s="2">
        <v>1</v>
      </c>
      <c r="N71" s="2">
        <v>20</v>
      </c>
      <c r="O71" s="2">
        <v>30</v>
      </c>
      <c r="P71" s="126">
        <v>1</v>
      </c>
      <c r="Q71" s="106">
        <v>20</v>
      </c>
      <c r="R71" s="127">
        <v>30</v>
      </c>
      <c r="S71" s="2">
        <v>1</v>
      </c>
      <c r="T71" s="2">
        <v>20</v>
      </c>
      <c r="U71" s="127">
        <v>30</v>
      </c>
      <c r="V71" s="2">
        <v>1</v>
      </c>
      <c r="W71" s="2">
        <v>11</v>
      </c>
      <c r="X71" s="109">
        <v>29</v>
      </c>
    </row>
    <row r="72" spans="2:24" x14ac:dyDescent="0.25">
      <c r="B72">
        <v>20101910</v>
      </c>
      <c r="C72" s="103" t="s">
        <v>49</v>
      </c>
      <c r="D72" s="108" t="s">
        <v>49</v>
      </c>
      <c r="E72" s="99" t="s">
        <v>49</v>
      </c>
      <c r="F72" s="99" t="s">
        <v>49</v>
      </c>
      <c r="G72" s="132" t="s">
        <v>49</v>
      </c>
      <c r="H72" s="133" t="s">
        <v>49</v>
      </c>
      <c r="I72" s="99" t="s">
        <v>49</v>
      </c>
      <c r="J72" s="133" t="s">
        <v>49</v>
      </c>
      <c r="K72" s="99" t="s">
        <v>49</v>
      </c>
      <c r="L72" s="116" t="s">
        <v>49</v>
      </c>
      <c r="M72" s="2" t="s">
        <v>49</v>
      </c>
      <c r="N72" s="2" t="s">
        <v>49</v>
      </c>
      <c r="O72" s="2" t="s">
        <v>49</v>
      </c>
      <c r="P72" s="126" t="s">
        <v>49</v>
      </c>
      <c r="Q72" s="106" t="s">
        <v>49</v>
      </c>
      <c r="R72" s="127" t="s">
        <v>49</v>
      </c>
      <c r="S72" s="2" t="s">
        <v>49</v>
      </c>
      <c r="T72" s="2" t="s">
        <v>49</v>
      </c>
      <c r="U72" s="127" t="s">
        <v>49</v>
      </c>
      <c r="V72" s="2" t="s">
        <v>49</v>
      </c>
      <c r="W72" s="2" t="s">
        <v>49</v>
      </c>
      <c r="X72" s="109" t="s">
        <v>49</v>
      </c>
    </row>
    <row r="73" spans="2:24" x14ac:dyDescent="0.25">
      <c r="B73">
        <v>20102111</v>
      </c>
      <c r="C73" s="103">
        <v>420.2</v>
      </c>
      <c r="D73" s="108">
        <v>415.5</v>
      </c>
      <c r="E73" s="99">
        <v>7.2622500000000005E-4</v>
      </c>
      <c r="F73" s="99">
        <v>7.9611099999999995E-4</v>
      </c>
      <c r="G73" s="132">
        <v>7.2622500000000005E-4</v>
      </c>
      <c r="H73" s="133">
        <v>7.9184800000000005E-4</v>
      </c>
      <c r="I73" s="99">
        <v>7.2622500000000005E-4</v>
      </c>
      <c r="J73" s="133">
        <v>7.5561300000000003E-4</v>
      </c>
      <c r="K73" s="99">
        <v>6.9881999999999995E-4</v>
      </c>
      <c r="L73" s="116">
        <v>7.2364100000000002E-4</v>
      </c>
      <c r="M73" s="2">
        <v>0</v>
      </c>
      <c r="N73" s="2">
        <v>22</v>
      </c>
      <c r="O73" s="2">
        <v>33</v>
      </c>
      <c r="P73" s="126">
        <v>0</v>
      </c>
      <c r="Q73" s="106">
        <v>21</v>
      </c>
      <c r="R73" s="127">
        <v>33</v>
      </c>
      <c r="S73" s="2">
        <v>0</v>
      </c>
      <c r="T73" s="2">
        <v>11</v>
      </c>
      <c r="U73" s="127">
        <v>33</v>
      </c>
      <c r="V73" s="2">
        <v>0</v>
      </c>
      <c r="W73" s="2">
        <v>9</v>
      </c>
      <c r="X73" s="109">
        <v>29</v>
      </c>
    </row>
    <row r="74" spans="2:24" x14ac:dyDescent="0.25">
      <c r="B74">
        <v>20102207</v>
      </c>
      <c r="C74" s="103">
        <v>4828.3999999999996</v>
      </c>
      <c r="D74" s="108">
        <v>4315.8999999999996</v>
      </c>
      <c r="E74" s="99">
        <v>1.9811999999999999E-5</v>
      </c>
      <c r="F74" s="99">
        <v>3.01683E-5</v>
      </c>
      <c r="G74" s="132">
        <v>4.2192199999999999E-6</v>
      </c>
      <c r="H74" s="133">
        <v>4.9254399999999997E-6</v>
      </c>
      <c r="I74" s="99">
        <v>1.1006699999999999E-6</v>
      </c>
      <c r="J74" s="133">
        <v>1.12875E-6</v>
      </c>
      <c r="K74" s="100">
        <v>9.9999999999999995E-7</v>
      </c>
      <c r="L74" s="118">
        <v>9.9999999999999995E-7</v>
      </c>
      <c r="M74" s="2">
        <v>1</v>
      </c>
      <c r="N74" s="2">
        <v>19</v>
      </c>
      <c r="O74" s="2">
        <v>14</v>
      </c>
      <c r="P74" s="126">
        <v>0</v>
      </c>
      <c r="Q74" s="106">
        <v>1</v>
      </c>
      <c r="R74" s="127">
        <v>3</v>
      </c>
      <c r="S74" s="2">
        <v>0</v>
      </c>
      <c r="T74" s="2">
        <v>0</v>
      </c>
      <c r="U74" s="127">
        <v>1</v>
      </c>
      <c r="V74" s="2">
        <v>0</v>
      </c>
      <c r="W74" s="2">
        <v>0</v>
      </c>
      <c r="X74" s="109">
        <v>0</v>
      </c>
    </row>
    <row r="75" spans="2:24" x14ac:dyDescent="0.25">
      <c r="B75">
        <v>20102236</v>
      </c>
      <c r="C75" s="103">
        <v>1012.1</v>
      </c>
      <c r="D75" s="108">
        <v>1004.6</v>
      </c>
      <c r="E75" s="99">
        <v>7.2246599999999995E-4</v>
      </c>
      <c r="F75" s="99">
        <v>7.4807599999999997E-4</v>
      </c>
      <c r="G75" s="132">
        <v>7.1940199999999995E-4</v>
      </c>
      <c r="H75" s="133">
        <v>7.2515299999999997E-4</v>
      </c>
      <c r="I75" s="99">
        <v>7.0364899999999998E-4</v>
      </c>
      <c r="J75" s="133">
        <v>6.9561799999999995E-4</v>
      </c>
      <c r="K75" s="99">
        <v>6.7257999999999999E-4</v>
      </c>
      <c r="L75" s="116">
        <v>6.6740500000000004E-4</v>
      </c>
      <c r="M75" s="2">
        <v>0</v>
      </c>
      <c r="N75" s="2">
        <v>19</v>
      </c>
      <c r="O75" s="2">
        <v>25</v>
      </c>
      <c r="P75" s="126">
        <v>1</v>
      </c>
      <c r="Q75" s="106">
        <v>11</v>
      </c>
      <c r="R75" s="127">
        <v>23</v>
      </c>
      <c r="S75" s="2">
        <v>2</v>
      </c>
      <c r="T75" s="2">
        <v>4</v>
      </c>
      <c r="U75" s="127">
        <v>17</v>
      </c>
      <c r="V75" s="2">
        <v>0</v>
      </c>
      <c r="W75" s="2">
        <v>2</v>
      </c>
      <c r="X75" s="109">
        <v>11</v>
      </c>
    </row>
    <row r="76" spans="2:24" x14ac:dyDescent="0.25">
      <c r="B76">
        <v>20102251</v>
      </c>
      <c r="C76" s="150">
        <v>174.8</v>
      </c>
      <c r="D76" s="151">
        <v>173.1</v>
      </c>
      <c r="E76" s="152">
        <v>1.2443000000000001E-3</v>
      </c>
      <c r="F76" s="152">
        <v>1.3303099999999999E-3</v>
      </c>
      <c r="G76" s="153">
        <v>1.2443000000000001E-3</v>
      </c>
      <c r="H76" s="154">
        <v>1.3303099999999999E-3</v>
      </c>
      <c r="I76" s="152">
        <v>1.2443000000000001E-3</v>
      </c>
      <c r="J76" s="154">
        <v>1.3303099999999999E-3</v>
      </c>
      <c r="K76" s="152">
        <v>1.2443000000000001E-3</v>
      </c>
      <c r="L76" s="155">
        <v>1.31496E-3</v>
      </c>
      <c r="M76" s="156">
        <v>0</v>
      </c>
      <c r="N76" s="156">
        <v>13</v>
      </c>
      <c r="O76" s="156">
        <v>20</v>
      </c>
      <c r="P76" s="157">
        <v>0</v>
      </c>
      <c r="Q76" s="158">
        <v>13</v>
      </c>
      <c r="R76" s="159">
        <v>20</v>
      </c>
      <c r="S76" s="156">
        <v>0</v>
      </c>
      <c r="T76" s="156">
        <v>13</v>
      </c>
      <c r="U76" s="159">
        <v>20</v>
      </c>
      <c r="V76" s="156">
        <v>0</v>
      </c>
      <c r="W76" s="156">
        <v>10</v>
      </c>
      <c r="X76" s="160">
        <v>20</v>
      </c>
    </row>
    <row r="77" spans="2:24" x14ac:dyDescent="0.25">
      <c r="B77">
        <v>20102362</v>
      </c>
      <c r="C77" s="103">
        <v>2815.9</v>
      </c>
      <c r="D77" s="108">
        <v>2793.3</v>
      </c>
      <c r="E77" s="99">
        <v>2.0131399999999999E-4</v>
      </c>
      <c r="F77" s="99">
        <v>2.0880599999999999E-4</v>
      </c>
      <c r="G77" s="132">
        <v>1.85272E-4</v>
      </c>
      <c r="H77" s="133">
        <v>1.8581700000000001E-4</v>
      </c>
      <c r="I77" s="99">
        <v>1.7725099999999999E-4</v>
      </c>
      <c r="J77" s="133">
        <v>1.7487700000000001E-4</v>
      </c>
      <c r="K77" s="99">
        <v>1.33213E-4</v>
      </c>
      <c r="L77" s="116">
        <v>1.32862E-4</v>
      </c>
      <c r="M77" s="2">
        <v>0</v>
      </c>
      <c r="N77" s="2">
        <v>14</v>
      </c>
      <c r="O77" s="2">
        <v>30</v>
      </c>
      <c r="P77" s="126">
        <v>0</v>
      </c>
      <c r="Q77" s="106">
        <v>4</v>
      </c>
      <c r="R77" s="127">
        <v>21</v>
      </c>
      <c r="S77" s="2">
        <v>1</v>
      </c>
      <c r="T77" s="2">
        <v>3</v>
      </c>
      <c r="U77" s="127">
        <v>16</v>
      </c>
      <c r="V77" s="2">
        <v>0</v>
      </c>
      <c r="W77" s="2">
        <v>1</v>
      </c>
      <c r="X77" s="109">
        <v>7</v>
      </c>
    </row>
    <row r="78" spans="2:24" x14ac:dyDescent="0.25">
      <c r="B78">
        <v>20110104</v>
      </c>
      <c r="C78" s="103">
        <v>428.2</v>
      </c>
      <c r="D78" s="108">
        <v>423.7</v>
      </c>
      <c r="E78" s="99">
        <v>1.76352E-3</v>
      </c>
      <c r="F78" s="99">
        <v>1.79875E-3</v>
      </c>
      <c r="G78" s="132">
        <v>1.76352E-3</v>
      </c>
      <c r="H78" s="133">
        <v>1.79561E-3</v>
      </c>
      <c r="I78" s="99">
        <v>1.76352E-3</v>
      </c>
      <c r="J78" s="133">
        <v>1.7778399999999999E-3</v>
      </c>
      <c r="K78" s="99">
        <v>1.76352E-3</v>
      </c>
      <c r="L78" s="116">
        <v>1.76739E-3</v>
      </c>
      <c r="M78" s="2">
        <v>0</v>
      </c>
      <c r="N78" s="2">
        <v>13</v>
      </c>
      <c r="O78" s="2">
        <v>35</v>
      </c>
      <c r="P78" s="126">
        <v>0</v>
      </c>
      <c r="Q78" s="106">
        <v>12</v>
      </c>
      <c r="R78" s="127">
        <v>35</v>
      </c>
      <c r="S78" s="2">
        <v>0</v>
      </c>
      <c r="T78" s="2">
        <v>7</v>
      </c>
      <c r="U78" s="127">
        <v>35</v>
      </c>
      <c r="V78" s="2">
        <v>0</v>
      </c>
      <c r="W78" s="2">
        <v>4</v>
      </c>
      <c r="X78" s="109">
        <v>35</v>
      </c>
    </row>
    <row r="79" spans="2:24" x14ac:dyDescent="0.25">
      <c r="B79">
        <v>20110187</v>
      </c>
      <c r="C79" s="103">
        <v>559.6</v>
      </c>
      <c r="D79" s="108">
        <v>555.1</v>
      </c>
      <c r="E79" s="99">
        <v>8.8953399999999998E-4</v>
      </c>
      <c r="F79" s="99">
        <v>9.1907800000000004E-4</v>
      </c>
      <c r="G79" s="132">
        <v>8.8953399999999998E-4</v>
      </c>
      <c r="H79" s="133">
        <v>9.0870700000000003E-4</v>
      </c>
      <c r="I79" s="99">
        <v>8.8953399999999998E-4</v>
      </c>
      <c r="J79" s="133">
        <v>9.0392000000000001E-4</v>
      </c>
      <c r="K79" s="99">
        <v>8.4917300000000005E-4</v>
      </c>
      <c r="L79" s="116">
        <v>8.5764700000000001E-4</v>
      </c>
      <c r="M79" s="2">
        <v>0</v>
      </c>
      <c r="N79" s="2">
        <v>15</v>
      </c>
      <c r="O79" s="2">
        <v>37</v>
      </c>
      <c r="P79" s="126">
        <v>0</v>
      </c>
      <c r="Q79" s="106">
        <v>11</v>
      </c>
      <c r="R79" s="127">
        <v>37</v>
      </c>
      <c r="S79" s="2">
        <v>0</v>
      </c>
      <c r="T79" s="2">
        <v>9</v>
      </c>
      <c r="U79" s="127">
        <v>37</v>
      </c>
      <c r="V79" s="2">
        <v>1</v>
      </c>
      <c r="W79" s="2">
        <v>7</v>
      </c>
      <c r="X79" s="109">
        <v>29</v>
      </c>
    </row>
    <row r="80" spans="2:24" x14ac:dyDescent="0.25">
      <c r="B80">
        <v>20110299</v>
      </c>
      <c r="C80" s="103">
        <v>2469.6</v>
      </c>
      <c r="D80" s="108">
        <v>2445.8000000000002</v>
      </c>
      <c r="E80" s="99">
        <v>1.7646E-4</v>
      </c>
      <c r="F80" s="99">
        <v>2.0316299999999999E-4</v>
      </c>
      <c r="G80" s="132">
        <v>1.67314E-4</v>
      </c>
      <c r="H80" s="133">
        <v>1.7690699999999999E-4</v>
      </c>
      <c r="I80" s="99">
        <v>1.38801E-4</v>
      </c>
      <c r="J80" s="133">
        <v>1.43771E-4</v>
      </c>
      <c r="K80" s="99">
        <v>1.20868E-4</v>
      </c>
      <c r="L80" s="116">
        <v>1.21499E-4</v>
      </c>
      <c r="M80" s="2">
        <v>0</v>
      </c>
      <c r="N80" s="2">
        <v>33</v>
      </c>
      <c r="O80" s="2">
        <v>30</v>
      </c>
      <c r="P80" s="126">
        <v>0</v>
      </c>
      <c r="Q80" s="106">
        <v>14</v>
      </c>
      <c r="R80" s="127">
        <v>25</v>
      </c>
      <c r="S80" s="2">
        <v>0</v>
      </c>
      <c r="T80" s="2">
        <v>8</v>
      </c>
      <c r="U80" s="127">
        <v>16</v>
      </c>
      <c r="V80" s="2">
        <v>0</v>
      </c>
      <c r="W80" s="2">
        <v>2</v>
      </c>
      <c r="X80" s="109">
        <v>9</v>
      </c>
    </row>
    <row r="81" spans="1:24" x14ac:dyDescent="0.25">
      <c r="B81">
        <v>20110402</v>
      </c>
      <c r="C81" s="103">
        <v>486.7</v>
      </c>
      <c r="D81" s="108">
        <v>479.2</v>
      </c>
      <c r="E81" s="99">
        <v>3.3216000000000002E-4</v>
      </c>
      <c r="F81" s="99">
        <v>3.8629099999999998E-4</v>
      </c>
      <c r="G81" s="132">
        <v>3.3216000000000002E-4</v>
      </c>
      <c r="H81" s="133">
        <v>3.8629099999999998E-4</v>
      </c>
      <c r="I81" s="99">
        <v>3.3216000000000002E-4</v>
      </c>
      <c r="J81" s="133">
        <v>3.6133900000000002E-4</v>
      </c>
      <c r="K81" s="99">
        <v>3.0940900000000002E-4</v>
      </c>
      <c r="L81" s="116">
        <v>3.09587E-4</v>
      </c>
      <c r="M81" s="2">
        <v>0</v>
      </c>
      <c r="N81" s="2">
        <v>18</v>
      </c>
      <c r="O81" s="2">
        <v>20</v>
      </c>
      <c r="P81" s="126">
        <v>0</v>
      </c>
      <c r="Q81" s="106">
        <v>18</v>
      </c>
      <c r="R81" s="127">
        <v>20</v>
      </c>
      <c r="S81" s="2">
        <v>0</v>
      </c>
      <c r="T81" s="2">
        <v>11</v>
      </c>
      <c r="U81" s="127">
        <v>20</v>
      </c>
      <c r="V81" s="2">
        <v>1</v>
      </c>
      <c r="W81" s="2">
        <v>3</v>
      </c>
      <c r="X81" s="109">
        <v>15</v>
      </c>
    </row>
    <row r="82" spans="1:24" x14ac:dyDescent="0.25">
      <c r="B82">
        <v>20110602</v>
      </c>
      <c r="C82" s="103">
        <v>4781.3</v>
      </c>
      <c r="D82" s="108">
        <v>3968.2</v>
      </c>
      <c r="E82" s="99">
        <v>2.3035699999999999E-4</v>
      </c>
      <c r="F82" s="99">
        <v>2.5345700000000001E-4</v>
      </c>
      <c r="G82" s="132">
        <v>2.1646400000000001E-4</v>
      </c>
      <c r="H82" s="133">
        <v>2.23212E-4</v>
      </c>
      <c r="I82" s="99">
        <v>2.0006900000000001E-4</v>
      </c>
      <c r="J82" s="133">
        <v>2.0636E-4</v>
      </c>
      <c r="K82" s="99">
        <v>1.51349E-4</v>
      </c>
      <c r="L82" s="116">
        <v>1.3939599999999999E-4</v>
      </c>
      <c r="M82" s="2">
        <v>1</v>
      </c>
      <c r="N82" s="2">
        <v>33</v>
      </c>
      <c r="O82" s="2">
        <v>48</v>
      </c>
      <c r="P82" s="126">
        <v>1</v>
      </c>
      <c r="Q82" s="106">
        <v>9</v>
      </c>
      <c r="R82" s="127">
        <v>38</v>
      </c>
      <c r="S82" s="2">
        <v>0</v>
      </c>
      <c r="T82" s="2">
        <v>6</v>
      </c>
      <c r="U82" s="127">
        <v>31</v>
      </c>
      <c r="V82" s="2">
        <v>0</v>
      </c>
      <c r="W82" s="2">
        <v>1</v>
      </c>
      <c r="X82" s="109">
        <v>20</v>
      </c>
    </row>
    <row r="83" spans="1:24" x14ac:dyDescent="0.25">
      <c r="B83">
        <v>20110619</v>
      </c>
      <c r="C83" s="103">
        <v>1979.9</v>
      </c>
      <c r="D83" s="108">
        <v>1960.1</v>
      </c>
      <c r="E83" s="99">
        <v>5.4489399999999998E-4</v>
      </c>
      <c r="F83" s="99">
        <v>4.8487999999999998E-4</v>
      </c>
      <c r="G83" s="132">
        <v>5.4064399999999996E-4</v>
      </c>
      <c r="H83" s="133">
        <v>4.6205900000000002E-4</v>
      </c>
      <c r="I83" s="99">
        <v>5.3505200000000005E-4</v>
      </c>
      <c r="J83" s="133">
        <v>4.5550700000000001E-4</v>
      </c>
      <c r="K83" s="99">
        <v>4.9053900000000001E-4</v>
      </c>
      <c r="L83" s="116">
        <v>4.09866E-4</v>
      </c>
      <c r="M83" s="2">
        <v>1</v>
      </c>
      <c r="N83" s="2">
        <v>25</v>
      </c>
      <c r="O83" s="2">
        <v>45</v>
      </c>
      <c r="P83" s="126">
        <v>1</v>
      </c>
      <c r="Q83" s="106">
        <v>9</v>
      </c>
      <c r="R83" s="127">
        <v>43</v>
      </c>
      <c r="S83" s="2">
        <v>1</v>
      </c>
      <c r="T83" s="2">
        <v>8</v>
      </c>
      <c r="U83" s="127">
        <v>42</v>
      </c>
      <c r="V83" s="2">
        <v>1</v>
      </c>
      <c r="W83" s="2">
        <v>5</v>
      </c>
      <c r="X83" s="109">
        <v>31</v>
      </c>
    </row>
    <row r="84" spans="1:24" x14ac:dyDescent="0.25">
      <c r="B84">
        <v>20110891</v>
      </c>
      <c r="C84" s="103" t="s">
        <v>49</v>
      </c>
      <c r="D84" s="108" t="s">
        <v>49</v>
      </c>
      <c r="E84" s="99" t="s">
        <v>49</v>
      </c>
      <c r="F84" s="99" t="s">
        <v>49</v>
      </c>
      <c r="G84" s="132" t="s">
        <v>49</v>
      </c>
      <c r="H84" s="133" t="s">
        <v>49</v>
      </c>
      <c r="I84" s="99" t="s">
        <v>49</v>
      </c>
      <c r="J84" s="133" t="s">
        <v>49</v>
      </c>
      <c r="K84" s="99" t="s">
        <v>49</v>
      </c>
      <c r="L84" s="116" t="s">
        <v>49</v>
      </c>
      <c r="M84" s="2" t="s">
        <v>49</v>
      </c>
      <c r="N84" s="2" t="s">
        <v>49</v>
      </c>
      <c r="O84" s="2" t="s">
        <v>49</v>
      </c>
      <c r="P84" s="126" t="s">
        <v>49</v>
      </c>
      <c r="Q84" s="106" t="s">
        <v>49</v>
      </c>
      <c r="R84" s="127" t="s">
        <v>49</v>
      </c>
      <c r="S84" s="2" t="s">
        <v>49</v>
      </c>
      <c r="T84" s="2" t="s">
        <v>49</v>
      </c>
      <c r="U84" s="127" t="s">
        <v>49</v>
      </c>
      <c r="V84" s="2" t="s">
        <v>49</v>
      </c>
      <c r="W84" s="2" t="s">
        <v>49</v>
      </c>
      <c r="X84" s="109" t="s">
        <v>49</v>
      </c>
    </row>
    <row r="85" spans="1:24" x14ac:dyDescent="0.25">
      <c r="B85">
        <v>20111053</v>
      </c>
      <c r="C85" s="103">
        <v>7927.3</v>
      </c>
      <c r="D85" s="108">
        <v>4646.7</v>
      </c>
      <c r="E85" s="99">
        <v>2.5313100000000003E-4</v>
      </c>
      <c r="F85" s="99">
        <v>2.9088200000000001E-4</v>
      </c>
      <c r="G85" s="132">
        <v>1.74024E-4</v>
      </c>
      <c r="H85" s="133">
        <v>2.0386499999999999E-4</v>
      </c>
      <c r="I85" s="99">
        <v>1.4061600000000001E-4</v>
      </c>
      <c r="J85" s="133">
        <v>1.6640900000000001E-4</v>
      </c>
      <c r="K85" s="99">
        <v>2.44696E-5</v>
      </c>
      <c r="L85" s="116">
        <v>4.8512099999999999E-5</v>
      </c>
      <c r="M85" s="2">
        <v>9</v>
      </c>
      <c r="N85" s="2">
        <v>40</v>
      </c>
      <c r="O85" s="2">
        <v>138</v>
      </c>
      <c r="P85" s="126">
        <v>7</v>
      </c>
      <c r="Q85" s="106">
        <v>11</v>
      </c>
      <c r="R85" s="127">
        <v>81</v>
      </c>
      <c r="S85" s="2">
        <v>3</v>
      </c>
      <c r="T85" s="2">
        <v>5</v>
      </c>
      <c r="U85" s="127">
        <v>64</v>
      </c>
      <c r="V85" s="2">
        <v>4</v>
      </c>
      <c r="W85" s="2">
        <v>5</v>
      </c>
      <c r="X85" s="109">
        <v>15</v>
      </c>
    </row>
    <row r="86" spans="1:24" x14ac:dyDescent="0.25">
      <c r="B86">
        <v>20111249</v>
      </c>
      <c r="C86" s="103">
        <v>12937</v>
      </c>
      <c r="D86" s="108">
        <v>7440.4</v>
      </c>
      <c r="E86" s="99">
        <v>1.3104300000000001E-4</v>
      </c>
      <c r="F86" s="99">
        <v>1.4071099999999999E-4</v>
      </c>
      <c r="G86" s="132">
        <v>1.2115E-4</v>
      </c>
      <c r="H86" s="133">
        <v>1.2856799999999999E-4</v>
      </c>
      <c r="I86" s="99">
        <v>1.15946E-4</v>
      </c>
      <c r="J86" s="133">
        <v>1.2309199999999999E-4</v>
      </c>
      <c r="K86" s="99">
        <v>1.0807299999999999E-4</v>
      </c>
      <c r="L86" s="116">
        <v>1.12438E-4</v>
      </c>
      <c r="M86" s="2">
        <v>1</v>
      </c>
      <c r="N86" s="2">
        <v>5</v>
      </c>
      <c r="O86" s="2">
        <v>20</v>
      </c>
      <c r="P86" s="126">
        <v>0</v>
      </c>
      <c r="Q86" s="106">
        <v>0</v>
      </c>
      <c r="R86" s="127">
        <v>7</v>
      </c>
      <c r="S86" s="2">
        <v>0</v>
      </c>
      <c r="T86" s="2">
        <v>0</v>
      </c>
      <c r="U86" s="127">
        <v>4</v>
      </c>
      <c r="V86" s="2">
        <v>0</v>
      </c>
      <c r="W86" s="2">
        <v>0</v>
      </c>
      <c r="X86" s="109">
        <v>1</v>
      </c>
    </row>
    <row r="87" spans="1:24" x14ac:dyDescent="0.25">
      <c r="B87">
        <v>20111347</v>
      </c>
      <c r="C87" s="103">
        <v>25170.400000000001</v>
      </c>
      <c r="D87" s="108">
        <v>7630.8</v>
      </c>
      <c r="E87" s="99">
        <v>5.6356300000000001E-5</v>
      </c>
      <c r="F87" s="99">
        <v>7.6493200000000001E-5</v>
      </c>
      <c r="G87" s="132">
        <v>3.5330500000000003E-5</v>
      </c>
      <c r="H87" s="133">
        <v>5.4148799999999999E-5</v>
      </c>
      <c r="I87" s="99">
        <v>2.10962E-5</v>
      </c>
      <c r="J87" s="133">
        <v>2.9076699999999999E-5</v>
      </c>
      <c r="K87" s="99">
        <v>9.1141300000000001E-6</v>
      </c>
      <c r="L87" s="116">
        <v>1.8281799999999998E-5</v>
      </c>
      <c r="M87" s="2">
        <v>3</v>
      </c>
      <c r="N87" s="2">
        <v>2</v>
      </c>
      <c r="O87" s="2">
        <v>50</v>
      </c>
      <c r="P87" s="126">
        <v>0</v>
      </c>
      <c r="Q87" s="106">
        <v>3</v>
      </c>
      <c r="R87" s="127">
        <v>16</v>
      </c>
      <c r="S87" s="2">
        <v>1</v>
      </c>
      <c r="T87" s="2">
        <v>1</v>
      </c>
      <c r="U87" s="127">
        <v>5</v>
      </c>
      <c r="V87" s="2">
        <v>0</v>
      </c>
      <c r="W87" s="2">
        <v>0</v>
      </c>
      <c r="X87" s="109">
        <v>2</v>
      </c>
    </row>
    <row r="88" spans="1:24" x14ac:dyDescent="0.25">
      <c r="B88">
        <v>20120568</v>
      </c>
      <c r="C88" s="103">
        <v>7148.3</v>
      </c>
      <c r="D88" s="108">
        <v>4557</v>
      </c>
      <c r="E88" s="99">
        <v>8.4753900000000002E-5</v>
      </c>
      <c r="F88" s="99">
        <v>8.6882899999999994E-5</v>
      </c>
      <c r="G88" s="132">
        <v>2.6950299999999998E-5</v>
      </c>
      <c r="H88" s="133">
        <v>3.97484E-5</v>
      </c>
      <c r="I88" s="99">
        <v>1.10279E-5</v>
      </c>
      <c r="J88" s="133">
        <v>1.8076299999999998E-5</v>
      </c>
      <c r="K88" s="101">
        <v>1.0532299999999999E-6</v>
      </c>
      <c r="L88" s="116">
        <v>1.55495E-6</v>
      </c>
      <c r="M88" s="2">
        <v>14</v>
      </c>
      <c r="N88" s="2">
        <v>29</v>
      </c>
      <c r="O88" s="2">
        <v>63</v>
      </c>
      <c r="P88" s="126">
        <v>2</v>
      </c>
      <c r="Q88" s="106">
        <v>14</v>
      </c>
      <c r="R88" s="127">
        <v>25</v>
      </c>
      <c r="S88" s="2">
        <v>0</v>
      </c>
      <c r="T88" s="2">
        <v>3</v>
      </c>
      <c r="U88" s="127">
        <v>14</v>
      </c>
      <c r="V88" s="2">
        <v>0</v>
      </c>
      <c r="W88" s="2">
        <v>0</v>
      </c>
      <c r="X88" s="109">
        <v>1</v>
      </c>
    </row>
    <row r="89" spans="1:24" x14ac:dyDescent="0.25">
      <c r="B89">
        <v>20121119</v>
      </c>
      <c r="C89" s="103">
        <v>427.1</v>
      </c>
      <c r="D89" s="108">
        <v>423.5</v>
      </c>
      <c r="E89" s="99">
        <v>1.34807E-3</v>
      </c>
      <c r="F89" s="99">
        <v>1.3562100000000001E-3</v>
      </c>
      <c r="G89" s="132">
        <v>1.34807E-3</v>
      </c>
      <c r="H89" s="133">
        <v>1.3530700000000001E-3</v>
      </c>
      <c r="I89" s="99">
        <v>1.34807E-3</v>
      </c>
      <c r="J89" s="133">
        <v>1.3499300000000001E-3</v>
      </c>
      <c r="K89" s="99">
        <v>1.2962200000000001E-3</v>
      </c>
      <c r="L89" s="116">
        <v>1.2851E-3</v>
      </c>
      <c r="M89" s="2">
        <v>0</v>
      </c>
      <c r="N89" s="2">
        <v>4</v>
      </c>
      <c r="O89" s="2">
        <v>43</v>
      </c>
      <c r="P89" s="126">
        <v>0</v>
      </c>
      <c r="Q89" s="106">
        <v>3</v>
      </c>
      <c r="R89" s="127">
        <v>43</v>
      </c>
      <c r="S89" s="2">
        <v>1</v>
      </c>
      <c r="T89" s="2">
        <v>3</v>
      </c>
      <c r="U89" s="127">
        <v>42</v>
      </c>
      <c r="V89" s="2">
        <v>1</v>
      </c>
      <c r="W89" s="2">
        <v>0</v>
      </c>
      <c r="X89" s="109">
        <v>35</v>
      </c>
    </row>
    <row r="90" spans="1:24" x14ac:dyDescent="0.25">
      <c r="B90">
        <v>20121257</v>
      </c>
      <c r="C90" s="103">
        <v>985.6</v>
      </c>
      <c r="D90" s="108">
        <v>976.6</v>
      </c>
      <c r="E90" s="99">
        <v>3.8236999999999999E-4</v>
      </c>
      <c r="F90" s="99">
        <v>4.32163E-4</v>
      </c>
      <c r="G90" s="132">
        <v>3.8236999999999999E-4</v>
      </c>
      <c r="H90" s="133">
        <v>4.0903499999999998E-4</v>
      </c>
      <c r="I90" s="99">
        <v>3.7338300000000003E-4</v>
      </c>
      <c r="J90" s="133">
        <v>3.8273400000000003E-4</v>
      </c>
      <c r="K90" s="99">
        <v>3.3878599999999999E-4</v>
      </c>
      <c r="L90" s="116">
        <v>3.42374E-4</v>
      </c>
      <c r="M90" s="2">
        <v>0</v>
      </c>
      <c r="N90" s="2">
        <v>25</v>
      </c>
      <c r="O90" s="2">
        <v>29</v>
      </c>
      <c r="P90" s="126">
        <v>0</v>
      </c>
      <c r="Q90" s="106">
        <v>14</v>
      </c>
      <c r="R90" s="127">
        <v>29</v>
      </c>
      <c r="S90" s="2">
        <v>0</v>
      </c>
      <c r="T90" s="2">
        <v>6</v>
      </c>
      <c r="U90" s="127">
        <v>27</v>
      </c>
      <c r="V90" s="2">
        <v>0</v>
      </c>
      <c r="W90" s="2">
        <v>3</v>
      </c>
      <c r="X90" s="109">
        <v>20</v>
      </c>
    </row>
    <row r="91" spans="1:24" x14ac:dyDescent="0.25">
      <c r="C91" s="105"/>
      <c r="D91" s="109"/>
      <c r="E91" s="2"/>
      <c r="F91" s="2"/>
      <c r="G91" s="126"/>
      <c r="H91" s="127"/>
      <c r="I91" s="2"/>
      <c r="J91" s="127"/>
      <c r="K91" s="2"/>
      <c r="L91" s="109"/>
      <c r="M91" s="2"/>
      <c r="N91" s="2"/>
      <c r="O91" s="2"/>
      <c r="P91" s="126"/>
      <c r="Q91" s="106"/>
      <c r="R91" s="127"/>
      <c r="S91" s="2"/>
      <c r="T91" s="2"/>
      <c r="U91" s="127"/>
      <c r="V91" s="2"/>
      <c r="W91" s="2"/>
      <c r="X91" s="109"/>
    </row>
    <row r="92" spans="1:24" x14ac:dyDescent="0.25">
      <c r="A92" t="s">
        <v>1112</v>
      </c>
      <c r="B92">
        <v>20094785</v>
      </c>
      <c r="C92" s="103">
        <v>53014.3</v>
      </c>
      <c r="D92" s="108">
        <v>7730.6</v>
      </c>
      <c r="E92" s="99">
        <v>7.6084500000000007E-5</v>
      </c>
      <c r="F92" s="99">
        <v>8.2371299999999995E-5</v>
      </c>
      <c r="G92" s="132">
        <v>3.9399500000000001E-5</v>
      </c>
      <c r="H92" s="133">
        <v>4.8352300000000001E-5</v>
      </c>
      <c r="I92" s="99">
        <v>2.21237E-5</v>
      </c>
      <c r="J92" s="133">
        <v>2.7833800000000001E-5</v>
      </c>
      <c r="K92" s="99">
        <v>2.05974E-5</v>
      </c>
      <c r="L92" s="116">
        <v>2.33138E-5</v>
      </c>
      <c r="M92" s="2">
        <v>13</v>
      </c>
      <c r="N92" s="2">
        <v>8</v>
      </c>
      <c r="O92" s="2">
        <v>49</v>
      </c>
      <c r="P92" s="126">
        <v>8</v>
      </c>
      <c r="Q92" s="106">
        <v>9</v>
      </c>
      <c r="R92" s="127">
        <v>7</v>
      </c>
      <c r="S92" s="2">
        <v>0</v>
      </c>
      <c r="T92" s="2">
        <v>0</v>
      </c>
      <c r="U92" s="127">
        <v>3</v>
      </c>
      <c r="V92" s="2">
        <v>0</v>
      </c>
      <c r="W92" s="2">
        <v>0</v>
      </c>
      <c r="X92" s="109">
        <v>2</v>
      </c>
    </row>
    <row r="93" spans="1:24" x14ac:dyDescent="0.25">
      <c r="B93">
        <v>20095121</v>
      </c>
      <c r="C93" s="103">
        <v>1839.7</v>
      </c>
      <c r="D93" s="108">
        <v>1822.3</v>
      </c>
      <c r="E93" s="99">
        <v>2.5640999999999999E-4</v>
      </c>
      <c r="F93" s="99">
        <v>2.7071899999999999E-4</v>
      </c>
      <c r="G93" s="132">
        <v>2.4816299999999998E-4</v>
      </c>
      <c r="H93" s="133">
        <v>2.4977799999999998E-4</v>
      </c>
      <c r="I93" s="99">
        <v>2.3141899999999999E-4</v>
      </c>
      <c r="J93" s="133">
        <v>2.3262099999999999E-4</v>
      </c>
      <c r="K93" s="99">
        <v>2.2442100000000001E-4</v>
      </c>
      <c r="L93" s="116">
        <v>2.24043E-4</v>
      </c>
      <c r="M93" s="2">
        <v>0</v>
      </c>
      <c r="N93" s="2">
        <v>15</v>
      </c>
      <c r="O93" s="2">
        <v>18</v>
      </c>
      <c r="P93" s="126">
        <v>0</v>
      </c>
      <c r="Q93" s="106">
        <v>5</v>
      </c>
      <c r="R93" s="127">
        <v>16</v>
      </c>
      <c r="S93" s="2">
        <v>0</v>
      </c>
      <c r="T93" s="2">
        <v>4</v>
      </c>
      <c r="U93" s="127">
        <v>11</v>
      </c>
      <c r="V93" s="2">
        <v>0</v>
      </c>
      <c r="W93" s="2">
        <v>2</v>
      </c>
      <c r="X93" s="109">
        <v>9</v>
      </c>
    </row>
    <row r="94" spans="1:24" x14ac:dyDescent="0.25">
      <c r="B94">
        <v>20095236</v>
      </c>
      <c r="C94" s="103">
        <v>2098.6999999999998</v>
      </c>
      <c r="D94" s="108">
        <v>2081.5</v>
      </c>
      <c r="E94" s="99">
        <v>3.6914100000000002E-4</v>
      </c>
      <c r="F94" s="99">
        <v>3.3021800000000002E-4</v>
      </c>
      <c r="G94" s="132">
        <v>3.3343100000000003E-4</v>
      </c>
      <c r="H94" s="133">
        <v>2.4451600000000002E-4</v>
      </c>
      <c r="I94" s="99">
        <v>3.1634399999999998E-4</v>
      </c>
      <c r="J94" s="133">
        <v>2.22649E-4</v>
      </c>
      <c r="K94" s="99">
        <v>2.9816E-4</v>
      </c>
      <c r="L94" s="116">
        <v>1.9813099999999999E-4</v>
      </c>
      <c r="M94" s="2">
        <v>1</v>
      </c>
      <c r="N94" s="2">
        <v>60</v>
      </c>
      <c r="O94" s="2">
        <v>47</v>
      </c>
      <c r="P94" s="126">
        <v>2</v>
      </c>
      <c r="Q94" s="106">
        <v>22</v>
      </c>
      <c r="R94" s="127">
        <v>31</v>
      </c>
      <c r="S94" s="2">
        <v>1</v>
      </c>
      <c r="T94" s="2">
        <v>15</v>
      </c>
      <c r="U94" s="127">
        <v>24</v>
      </c>
      <c r="V94" s="2">
        <v>1</v>
      </c>
      <c r="W94" s="2">
        <v>4</v>
      </c>
      <c r="X94" s="109">
        <v>19</v>
      </c>
    </row>
    <row r="95" spans="1:24" x14ac:dyDescent="0.25">
      <c r="B95">
        <v>20095267</v>
      </c>
      <c r="C95" s="103">
        <v>1713.5</v>
      </c>
      <c r="D95" s="108">
        <v>1695</v>
      </c>
      <c r="E95" s="99">
        <v>1.09958E-3</v>
      </c>
      <c r="F95" s="99">
        <v>1.13601E-3</v>
      </c>
      <c r="G95" s="132">
        <v>1.09958E-3</v>
      </c>
      <c r="H95" s="133">
        <v>1.1197399999999999E-3</v>
      </c>
      <c r="I95" s="99">
        <v>1.0797199999999999E-3</v>
      </c>
      <c r="J95" s="133">
        <v>1.09695E-3</v>
      </c>
      <c r="K95" s="99">
        <v>1.0577200000000001E-3</v>
      </c>
      <c r="L95" s="116">
        <v>1.0644000000000001E-3</v>
      </c>
      <c r="M95" s="2">
        <v>0</v>
      </c>
      <c r="N95" s="2">
        <v>23</v>
      </c>
      <c r="O95" s="2">
        <v>80</v>
      </c>
      <c r="P95" s="126">
        <v>1</v>
      </c>
      <c r="Q95" s="106">
        <v>12</v>
      </c>
      <c r="R95" s="127">
        <v>79</v>
      </c>
      <c r="S95" s="2">
        <v>0</v>
      </c>
      <c r="T95" s="2">
        <v>6</v>
      </c>
      <c r="U95" s="127">
        <v>73</v>
      </c>
      <c r="V95" s="2">
        <v>0</v>
      </c>
      <c r="W95" s="2">
        <v>3</v>
      </c>
      <c r="X95" s="109">
        <v>65</v>
      </c>
    </row>
    <row r="96" spans="1:24" x14ac:dyDescent="0.25">
      <c r="B96">
        <v>20095383</v>
      </c>
      <c r="C96" s="103">
        <v>29170.3</v>
      </c>
      <c r="D96" s="108">
        <v>7689.5</v>
      </c>
      <c r="E96" s="99">
        <v>2.24918E-5</v>
      </c>
      <c r="F96" s="99">
        <v>4.1375999999999998E-5</v>
      </c>
      <c r="G96" s="132">
        <v>1.1537499999999999E-5</v>
      </c>
      <c r="H96" s="133">
        <v>3.69514E-5</v>
      </c>
      <c r="I96" s="99">
        <v>2.5691399999999999E-6</v>
      </c>
      <c r="J96" s="133">
        <v>1.5007800000000001E-5</v>
      </c>
      <c r="K96" s="100">
        <v>9.9999999999999995E-7</v>
      </c>
      <c r="L96" s="118">
        <v>9.9999999999999995E-7</v>
      </c>
      <c r="M96" s="2">
        <v>3</v>
      </c>
      <c r="N96" s="2">
        <v>5</v>
      </c>
      <c r="O96" s="2">
        <v>21</v>
      </c>
      <c r="P96" s="126">
        <v>1</v>
      </c>
      <c r="Q96" s="106">
        <v>12</v>
      </c>
      <c r="R96" s="127">
        <v>7</v>
      </c>
      <c r="S96" s="2">
        <v>1</v>
      </c>
      <c r="T96" s="2">
        <v>7</v>
      </c>
      <c r="U96" s="127">
        <v>0</v>
      </c>
      <c r="V96" s="2">
        <v>0</v>
      </c>
      <c r="W96" s="2">
        <v>0</v>
      </c>
      <c r="X96" s="109">
        <v>0</v>
      </c>
    </row>
    <row r="97" spans="2:24" x14ac:dyDescent="0.25">
      <c r="B97">
        <v>20095452</v>
      </c>
      <c r="C97" s="103">
        <v>1137.4000000000001</v>
      </c>
      <c r="D97" s="108">
        <v>1129.0999999999999</v>
      </c>
      <c r="E97" s="99">
        <v>1.00651E-4</v>
      </c>
      <c r="F97" s="99">
        <v>1.23387E-4</v>
      </c>
      <c r="G97" s="132">
        <v>1.00651E-4</v>
      </c>
      <c r="H97" s="133">
        <v>1.1931500000000001E-4</v>
      </c>
      <c r="I97" s="99">
        <v>9.5800700000000006E-5</v>
      </c>
      <c r="J97" s="133">
        <v>1.0750499999999999E-4</v>
      </c>
      <c r="K97" s="99">
        <v>7.5185399999999993E-5</v>
      </c>
      <c r="L97" s="116">
        <v>8.3072300000000001E-5</v>
      </c>
      <c r="M97" s="2">
        <v>0</v>
      </c>
      <c r="N97" s="2">
        <v>15</v>
      </c>
      <c r="O97" s="2">
        <v>12</v>
      </c>
      <c r="P97" s="126">
        <v>0</v>
      </c>
      <c r="Q97" s="106">
        <v>13</v>
      </c>
      <c r="R97" s="127">
        <v>12</v>
      </c>
      <c r="S97" s="2">
        <v>0</v>
      </c>
      <c r="T97" s="2">
        <v>9</v>
      </c>
      <c r="U97" s="127">
        <v>11</v>
      </c>
      <c r="V97" s="2">
        <v>0</v>
      </c>
      <c r="W97" s="2">
        <v>6</v>
      </c>
      <c r="X97" s="109">
        <v>7</v>
      </c>
    </row>
    <row r="98" spans="2:24" x14ac:dyDescent="0.25">
      <c r="B98">
        <v>20095501</v>
      </c>
      <c r="C98" s="103">
        <v>21664</v>
      </c>
      <c r="D98" s="108">
        <v>7672.2</v>
      </c>
      <c r="E98" s="99">
        <v>7.5701800000000001E-5</v>
      </c>
      <c r="F98" s="99">
        <v>7.0174500000000004E-5</v>
      </c>
      <c r="G98" s="132">
        <v>6.9228799999999997E-5</v>
      </c>
      <c r="H98" s="133">
        <v>5.9028099999999998E-5</v>
      </c>
      <c r="I98" s="99">
        <v>5.8808399999999998E-5</v>
      </c>
      <c r="J98" s="133">
        <v>4.9140100000000001E-5</v>
      </c>
      <c r="K98" s="99">
        <v>4.9809899999999999E-5</v>
      </c>
      <c r="L98" s="116">
        <v>4.1109899999999998E-5</v>
      </c>
      <c r="M98" s="2">
        <v>3</v>
      </c>
      <c r="N98" s="2">
        <v>8</v>
      </c>
      <c r="O98" s="2">
        <v>17</v>
      </c>
      <c r="P98" s="126">
        <v>1</v>
      </c>
      <c r="Q98" s="106">
        <v>0</v>
      </c>
      <c r="R98" s="127">
        <v>10</v>
      </c>
      <c r="S98" s="2">
        <v>1</v>
      </c>
      <c r="T98" s="2">
        <v>0</v>
      </c>
      <c r="U98" s="127">
        <v>5</v>
      </c>
      <c r="V98" s="2">
        <v>0</v>
      </c>
      <c r="W98" s="2">
        <v>0</v>
      </c>
      <c r="X98" s="109">
        <v>2</v>
      </c>
    </row>
    <row r="99" spans="2:24" x14ac:dyDescent="0.25">
      <c r="B99">
        <v>20095509</v>
      </c>
      <c r="C99" s="103">
        <v>73892.600000000006</v>
      </c>
      <c r="D99" s="108">
        <v>7726.4</v>
      </c>
      <c r="E99" s="99">
        <v>5.7641900000000001E-5</v>
      </c>
      <c r="F99" s="99">
        <v>5.7483299999999999E-5</v>
      </c>
      <c r="G99" s="132">
        <v>1.07954E-5</v>
      </c>
      <c r="H99" s="133">
        <v>1.7673399999999999E-5</v>
      </c>
      <c r="I99" s="99">
        <v>3.9946200000000004E-6</v>
      </c>
      <c r="J99" s="136">
        <v>2.2017399999999999E-6</v>
      </c>
      <c r="K99" s="100">
        <v>9.9999999999999995E-7</v>
      </c>
      <c r="L99" s="118">
        <v>9.9999999999999995E-7</v>
      </c>
      <c r="M99" s="2">
        <v>15</v>
      </c>
      <c r="N99" s="2">
        <v>8</v>
      </c>
      <c r="O99" s="2">
        <v>54</v>
      </c>
      <c r="P99" s="126">
        <v>2</v>
      </c>
      <c r="Q99" s="106">
        <v>8</v>
      </c>
      <c r="R99" s="127">
        <v>3</v>
      </c>
      <c r="S99" s="2">
        <v>1</v>
      </c>
      <c r="T99" s="2">
        <v>1</v>
      </c>
      <c r="U99" s="127">
        <v>0</v>
      </c>
      <c r="V99" s="2">
        <v>0</v>
      </c>
      <c r="W99" s="2">
        <v>0</v>
      </c>
      <c r="X99" s="109">
        <v>0</v>
      </c>
    </row>
    <row r="100" spans="2:24" x14ac:dyDescent="0.25">
      <c r="B100">
        <v>20095510</v>
      </c>
      <c r="C100" s="103">
        <v>905</v>
      </c>
      <c r="D100" s="108">
        <v>893.6</v>
      </c>
      <c r="E100" s="99">
        <v>3.08361E-4</v>
      </c>
      <c r="F100" s="99">
        <v>3.2259699999999999E-4</v>
      </c>
      <c r="G100" s="132">
        <v>3.08361E-4</v>
      </c>
      <c r="H100" s="133">
        <v>3.1745200000000002E-4</v>
      </c>
      <c r="I100" s="99">
        <v>3.08361E-4</v>
      </c>
      <c r="J100" s="133">
        <v>3.1745200000000002E-4</v>
      </c>
      <c r="K100" s="99">
        <v>2.9667700000000002E-4</v>
      </c>
      <c r="L100" s="116">
        <v>2.9789999999999998E-4</v>
      </c>
      <c r="M100" s="2">
        <v>0</v>
      </c>
      <c r="N100" s="2">
        <v>7</v>
      </c>
      <c r="O100" s="2">
        <v>22</v>
      </c>
      <c r="P100" s="126">
        <v>0</v>
      </c>
      <c r="Q100" s="106">
        <v>5</v>
      </c>
      <c r="R100" s="127">
        <v>22</v>
      </c>
      <c r="S100" s="2">
        <v>0</v>
      </c>
      <c r="T100" s="2">
        <v>5</v>
      </c>
      <c r="U100" s="127">
        <v>22</v>
      </c>
      <c r="V100" s="2">
        <v>0</v>
      </c>
      <c r="W100" s="2">
        <v>1</v>
      </c>
      <c r="X100" s="109">
        <v>19</v>
      </c>
    </row>
    <row r="101" spans="2:24" x14ac:dyDescent="0.25">
      <c r="B101">
        <v>20096069</v>
      </c>
      <c r="C101" s="103">
        <v>1506.3</v>
      </c>
      <c r="D101" s="108">
        <v>1492.9</v>
      </c>
      <c r="E101" s="99">
        <v>7.7833199999999999E-5</v>
      </c>
      <c r="F101" s="99">
        <v>9.8244800000000005E-5</v>
      </c>
      <c r="G101" s="132">
        <v>7.7833199999999999E-5</v>
      </c>
      <c r="H101" s="133">
        <v>8.5001700000000003E-5</v>
      </c>
      <c r="I101" s="99">
        <v>7.4475700000000003E-5</v>
      </c>
      <c r="J101" s="133">
        <v>7.91502E-5</v>
      </c>
      <c r="K101" s="99">
        <v>5.64672E-5</v>
      </c>
      <c r="L101" s="116">
        <v>5.75918E-5</v>
      </c>
      <c r="M101" s="2">
        <v>0</v>
      </c>
      <c r="N101" s="2">
        <v>16</v>
      </c>
      <c r="O101" s="2">
        <v>16</v>
      </c>
      <c r="P101" s="126">
        <v>1</v>
      </c>
      <c r="Q101" s="106">
        <v>9</v>
      </c>
      <c r="R101" s="127">
        <v>15</v>
      </c>
      <c r="S101" s="2">
        <v>0</v>
      </c>
      <c r="T101" s="2">
        <v>4</v>
      </c>
      <c r="U101" s="127">
        <v>15</v>
      </c>
      <c r="V101" s="2">
        <v>0</v>
      </c>
      <c r="W101" s="2">
        <v>1</v>
      </c>
      <c r="X101" s="109">
        <v>7</v>
      </c>
    </row>
    <row r="102" spans="2:24" x14ac:dyDescent="0.25">
      <c r="B102">
        <v>20096074</v>
      </c>
      <c r="C102" s="103">
        <v>31612.6</v>
      </c>
      <c r="D102" s="108">
        <v>7696.3</v>
      </c>
      <c r="E102" s="99">
        <v>1.0745E-4</v>
      </c>
      <c r="F102" s="99">
        <v>9.8330099999999996E-5</v>
      </c>
      <c r="G102" s="132">
        <v>7.6195399999999999E-5</v>
      </c>
      <c r="H102" s="133">
        <v>6.4458199999999999E-5</v>
      </c>
      <c r="I102" s="99">
        <v>7.6195399999999999E-5</v>
      </c>
      <c r="J102" s="133">
        <v>6.2606299999999997E-5</v>
      </c>
      <c r="K102" s="99">
        <v>7.6195399999999999E-5</v>
      </c>
      <c r="L102" s="116">
        <v>6.2606299999999997E-5</v>
      </c>
      <c r="M102" s="2">
        <v>30</v>
      </c>
      <c r="N102" s="2">
        <v>18</v>
      </c>
      <c r="O102" s="2">
        <v>40</v>
      </c>
      <c r="P102" s="126">
        <v>1</v>
      </c>
      <c r="Q102" s="106">
        <v>1</v>
      </c>
      <c r="R102" s="127">
        <v>3</v>
      </c>
      <c r="S102" s="2">
        <v>1</v>
      </c>
      <c r="T102" s="2">
        <v>0</v>
      </c>
      <c r="U102" s="127">
        <v>3</v>
      </c>
      <c r="V102" s="2">
        <v>1</v>
      </c>
      <c r="W102" s="2">
        <v>0</v>
      </c>
      <c r="X102" s="109">
        <v>3</v>
      </c>
    </row>
    <row r="103" spans="2:24" x14ac:dyDescent="0.25">
      <c r="B103">
        <v>20097208</v>
      </c>
      <c r="C103" s="103">
        <v>24378.6</v>
      </c>
      <c r="D103" s="108">
        <v>7689.8</v>
      </c>
      <c r="E103" s="99">
        <v>6.1915999999999995E-5</v>
      </c>
      <c r="F103" s="99">
        <v>8.3406599999999995E-5</v>
      </c>
      <c r="G103" s="132">
        <v>5.17884E-5</v>
      </c>
      <c r="H103" s="133">
        <v>7.61123E-5</v>
      </c>
      <c r="I103" s="99">
        <v>4.9638400000000002E-5</v>
      </c>
      <c r="J103" s="133">
        <v>6.8758100000000002E-5</v>
      </c>
      <c r="K103" s="99">
        <v>4.8601099999999998E-5</v>
      </c>
      <c r="L103" s="116">
        <v>5.4169499999999997E-5</v>
      </c>
      <c r="M103" s="2">
        <v>6</v>
      </c>
      <c r="N103" s="2">
        <v>11</v>
      </c>
      <c r="O103" s="2">
        <v>18</v>
      </c>
      <c r="P103" s="126">
        <v>0</v>
      </c>
      <c r="Q103" s="106">
        <v>6</v>
      </c>
      <c r="R103" s="127">
        <v>8</v>
      </c>
      <c r="S103" s="2">
        <v>1</v>
      </c>
      <c r="T103" s="2">
        <v>6</v>
      </c>
      <c r="U103" s="127">
        <v>4</v>
      </c>
      <c r="V103" s="2">
        <v>0</v>
      </c>
      <c r="W103" s="2">
        <v>0</v>
      </c>
      <c r="X103" s="109">
        <v>3</v>
      </c>
    </row>
    <row r="104" spans="2:24" x14ac:dyDescent="0.25">
      <c r="B104">
        <v>20097214</v>
      </c>
      <c r="C104" s="103">
        <v>17247.5</v>
      </c>
      <c r="D104" s="108">
        <v>7621.8</v>
      </c>
      <c r="E104" s="99">
        <v>6.5043500000000002E-5</v>
      </c>
      <c r="F104" s="99">
        <v>9.7541999999999995E-5</v>
      </c>
      <c r="G104" s="132">
        <v>4.4757399999999999E-5</v>
      </c>
      <c r="H104" s="133">
        <v>7.1000000000000005E-5</v>
      </c>
      <c r="I104" s="99">
        <v>3.4760900000000001E-5</v>
      </c>
      <c r="J104" s="133">
        <v>6.0624500000000002E-5</v>
      </c>
      <c r="K104" s="99">
        <v>2.8656399999999999E-5</v>
      </c>
      <c r="L104" s="116">
        <v>3.4685599999999999E-5</v>
      </c>
      <c r="M104" s="2">
        <v>2</v>
      </c>
      <c r="N104" s="2">
        <v>30</v>
      </c>
      <c r="O104" s="2">
        <v>35</v>
      </c>
      <c r="P104" s="126">
        <v>1</v>
      </c>
      <c r="Q104" s="106">
        <v>6</v>
      </c>
      <c r="R104" s="127">
        <v>12</v>
      </c>
      <c r="S104" s="2">
        <v>1</v>
      </c>
      <c r="T104" s="2">
        <v>6</v>
      </c>
      <c r="U104" s="127">
        <v>6</v>
      </c>
      <c r="V104" s="2">
        <v>0</v>
      </c>
      <c r="W104" s="2">
        <v>0</v>
      </c>
      <c r="X104" s="109">
        <v>4</v>
      </c>
    </row>
    <row r="105" spans="2:24" x14ac:dyDescent="0.25">
      <c r="B105">
        <v>20097575</v>
      </c>
      <c r="C105" s="103">
        <v>2270.6</v>
      </c>
      <c r="D105" s="108">
        <v>2232</v>
      </c>
      <c r="E105" s="99">
        <v>2.4420600000000001E-4</v>
      </c>
      <c r="F105" s="99">
        <v>2.6098499999999998E-4</v>
      </c>
      <c r="G105" s="132">
        <v>2.3124699999999999E-4</v>
      </c>
      <c r="H105" s="133">
        <v>2.38738E-4</v>
      </c>
      <c r="I105" s="99">
        <v>2.2456399999999999E-4</v>
      </c>
      <c r="J105" s="133">
        <v>2.30499E-4</v>
      </c>
      <c r="K105" s="99">
        <v>2.0958000000000001E-4</v>
      </c>
      <c r="L105" s="116">
        <v>2.1196E-4</v>
      </c>
      <c r="M105" s="2">
        <v>0</v>
      </c>
      <c r="N105" s="2">
        <v>19</v>
      </c>
      <c r="O105" s="2">
        <v>26</v>
      </c>
      <c r="P105" s="126">
        <v>0</v>
      </c>
      <c r="Q105" s="106">
        <v>10</v>
      </c>
      <c r="R105" s="127">
        <v>21</v>
      </c>
      <c r="S105" s="2">
        <v>0</v>
      </c>
      <c r="T105" s="2">
        <v>8</v>
      </c>
      <c r="U105" s="127">
        <v>19</v>
      </c>
      <c r="V105" s="2">
        <v>0</v>
      </c>
      <c r="W105" s="2">
        <v>2</v>
      </c>
      <c r="X105" s="109">
        <v>16</v>
      </c>
    </row>
    <row r="106" spans="2:24" x14ac:dyDescent="0.25">
      <c r="B106">
        <v>20097608</v>
      </c>
      <c r="C106" s="103">
        <v>25511.599999999999</v>
      </c>
      <c r="D106" s="108">
        <v>7705.6</v>
      </c>
      <c r="E106" s="99">
        <v>5.7544199999999997E-5</v>
      </c>
      <c r="F106" s="99">
        <v>5.16121E-5</v>
      </c>
      <c r="G106" s="132">
        <v>4.6478699999999999E-5</v>
      </c>
      <c r="H106" s="133">
        <v>3.9977E-5</v>
      </c>
      <c r="I106" s="99">
        <v>3.9341999999999997E-5</v>
      </c>
      <c r="J106" s="133">
        <v>3.0728600000000003E-5</v>
      </c>
      <c r="K106" s="99">
        <v>2.4509900000000001E-5</v>
      </c>
      <c r="L106" s="116">
        <v>1.7542099999999999E-5</v>
      </c>
      <c r="M106" s="2">
        <v>5</v>
      </c>
      <c r="N106" s="2">
        <v>7</v>
      </c>
      <c r="O106" s="2">
        <v>24</v>
      </c>
      <c r="P106" s="126">
        <v>0</v>
      </c>
      <c r="Q106" s="106">
        <v>5</v>
      </c>
      <c r="R106" s="127">
        <v>10</v>
      </c>
      <c r="S106" s="2">
        <v>0</v>
      </c>
      <c r="T106" s="2">
        <v>1</v>
      </c>
      <c r="U106" s="127">
        <v>7</v>
      </c>
      <c r="V106" s="2">
        <v>0</v>
      </c>
      <c r="W106" s="2">
        <v>1</v>
      </c>
      <c r="X106" s="109">
        <v>3</v>
      </c>
    </row>
    <row r="107" spans="2:24" x14ac:dyDescent="0.25">
      <c r="B107">
        <v>20097639</v>
      </c>
      <c r="C107" s="103">
        <v>24487.7</v>
      </c>
      <c r="D107" s="108">
        <v>7667.8</v>
      </c>
      <c r="E107" s="99">
        <v>4.3559299999999996E-6</v>
      </c>
      <c r="F107" s="99">
        <v>3.5377E-6</v>
      </c>
      <c r="G107" s="134">
        <v>9.9999999999999995E-7</v>
      </c>
      <c r="H107" s="135">
        <v>9.9999999999999995E-7</v>
      </c>
      <c r="I107" s="100">
        <v>9.9999999999999995E-7</v>
      </c>
      <c r="J107" s="135">
        <v>9.9999999999999995E-7</v>
      </c>
      <c r="K107" s="100">
        <v>9.9999999999999995E-7</v>
      </c>
      <c r="L107" s="118">
        <v>9.9999999999999995E-7</v>
      </c>
      <c r="M107" s="2">
        <v>4</v>
      </c>
      <c r="N107" s="2">
        <v>1</v>
      </c>
      <c r="O107" s="2">
        <v>4</v>
      </c>
      <c r="P107" s="126">
        <v>0</v>
      </c>
      <c r="Q107" s="106">
        <v>0</v>
      </c>
      <c r="R107" s="127">
        <v>0</v>
      </c>
      <c r="S107" s="2">
        <v>0</v>
      </c>
      <c r="T107" s="2">
        <v>0</v>
      </c>
      <c r="U107" s="127">
        <v>0</v>
      </c>
      <c r="V107" s="2">
        <v>0</v>
      </c>
      <c r="W107" s="2">
        <v>0</v>
      </c>
      <c r="X107" s="109">
        <v>0</v>
      </c>
    </row>
    <row r="108" spans="2:24" x14ac:dyDescent="0.25">
      <c r="B108">
        <v>20097661</v>
      </c>
      <c r="C108" s="103">
        <v>4240.3999999999996</v>
      </c>
      <c r="D108" s="108">
        <v>3429.4</v>
      </c>
      <c r="E108" s="99">
        <v>1.21762E-4</v>
      </c>
      <c r="F108" s="99">
        <v>1.41707E-4</v>
      </c>
      <c r="G108" s="132">
        <v>1.03546E-4</v>
      </c>
      <c r="H108" s="133">
        <v>1.0618E-4</v>
      </c>
      <c r="I108" s="99">
        <v>7.6548299999999993E-5</v>
      </c>
      <c r="J108" s="133">
        <v>8.6204299999999997E-5</v>
      </c>
      <c r="K108" s="99">
        <v>3.5455099999999999E-5</v>
      </c>
      <c r="L108" s="116">
        <v>4.3437299999999998E-5</v>
      </c>
      <c r="M108" s="2">
        <v>0</v>
      </c>
      <c r="N108" s="2">
        <v>22</v>
      </c>
      <c r="O108" s="2">
        <v>26</v>
      </c>
      <c r="P108" s="126">
        <v>1</v>
      </c>
      <c r="Q108" s="106">
        <v>3</v>
      </c>
      <c r="R108" s="127">
        <v>16</v>
      </c>
      <c r="S108" s="2">
        <v>1</v>
      </c>
      <c r="T108" s="2">
        <v>5</v>
      </c>
      <c r="U108" s="127">
        <v>8</v>
      </c>
      <c r="V108" s="2">
        <v>0</v>
      </c>
      <c r="W108" s="2">
        <v>0</v>
      </c>
      <c r="X108" s="109">
        <v>2</v>
      </c>
    </row>
    <row r="109" spans="2:24" x14ac:dyDescent="0.25">
      <c r="B109">
        <v>20100450</v>
      </c>
      <c r="C109" s="103">
        <v>1442.8</v>
      </c>
      <c r="D109" s="108">
        <v>1432.2</v>
      </c>
      <c r="E109" s="99">
        <v>7.8712600000000003E-5</v>
      </c>
      <c r="F109" s="99">
        <v>9.8230899999999995E-5</v>
      </c>
      <c r="G109" s="132">
        <v>7.8712600000000003E-5</v>
      </c>
      <c r="H109" s="133">
        <v>8.5069199999999995E-5</v>
      </c>
      <c r="I109" s="99">
        <v>6.4053600000000006E-5</v>
      </c>
      <c r="J109" s="133">
        <v>6.6771299999999995E-5</v>
      </c>
      <c r="K109" s="99">
        <v>3.9515599999999998E-5</v>
      </c>
      <c r="L109" s="116">
        <v>4.2053099999999999E-5</v>
      </c>
      <c r="M109" s="2">
        <v>0</v>
      </c>
      <c r="N109" s="2">
        <v>15</v>
      </c>
      <c r="O109" s="2">
        <v>10</v>
      </c>
      <c r="P109" s="126">
        <v>0</v>
      </c>
      <c r="Q109" s="106">
        <v>8</v>
      </c>
      <c r="R109" s="127">
        <v>10</v>
      </c>
      <c r="S109" s="2">
        <v>0</v>
      </c>
      <c r="T109" s="2">
        <v>5</v>
      </c>
      <c r="U109" s="127">
        <v>6</v>
      </c>
      <c r="V109" s="2">
        <v>0</v>
      </c>
      <c r="W109" s="2">
        <v>5</v>
      </c>
      <c r="X109" s="109">
        <v>2</v>
      </c>
    </row>
    <row r="110" spans="2:24" x14ac:dyDescent="0.25">
      <c r="B110">
        <v>20101450</v>
      </c>
      <c r="C110" s="103">
        <v>12577.2</v>
      </c>
      <c r="D110" s="108">
        <v>3986.4</v>
      </c>
      <c r="E110" s="99">
        <v>5.5381899999999999E-5</v>
      </c>
      <c r="F110" s="99">
        <v>6.1472599999999998E-5</v>
      </c>
      <c r="G110" s="132">
        <v>4.3830299999999999E-5</v>
      </c>
      <c r="H110" s="133">
        <v>4.75173E-5</v>
      </c>
      <c r="I110" s="99">
        <v>4.2477700000000002E-5</v>
      </c>
      <c r="J110" s="133">
        <v>4.75173E-5</v>
      </c>
      <c r="K110" s="99">
        <v>4.2477700000000002E-5</v>
      </c>
      <c r="L110" s="116">
        <v>4.75173E-5</v>
      </c>
      <c r="M110" s="2">
        <v>5</v>
      </c>
      <c r="N110" s="2">
        <v>12</v>
      </c>
      <c r="O110" s="2">
        <v>12</v>
      </c>
      <c r="P110" s="126">
        <v>1</v>
      </c>
      <c r="Q110" s="106">
        <v>5</v>
      </c>
      <c r="R110" s="127">
        <v>4</v>
      </c>
      <c r="S110" s="2">
        <v>0</v>
      </c>
      <c r="T110" s="2">
        <v>5</v>
      </c>
      <c r="U110" s="127">
        <v>4</v>
      </c>
      <c r="V110" s="2">
        <v>0</v>
      </c>
      <c r="W110" s="2">
        <v>5</v>
      </c>
      <c r="X110" s="109">
        <v>4</v>
      </c>
    </row>
    <row r="111" spans="2:24" x14ac:dyDescent="0.25">
      <c r="B111">
        <v>20101466</v>
      </c>
      <c r="C111" s="103">
        <v>427.5</v>
      </c>
      <c r="D111" s="108">
        <v>424.5</v>
      </c>
      <c r="E111" s="99">
        <v>6.3996699999999997E-4</v>
      </c>
      <c r="F111" s="99">
        <v>6.9093699999999997E-4</v>
      </c>
      <c r="G111" s="132">
        <v>6.3996699999999997E-4</v>
      </c>
      <c r="H111" s="133">
        <v>6.9093699999999997E-4</v>
      </c>
      <c r="I111" s="99">
        <v>6.3996699999999997E-4</v>
      </c>
      <c r="J111" s="133">
        <v>6.8443900000000001E-4</v>
      </c>
      <c r="K111" s="99">
        <v>6.0662400000000005E-4</v>
      </c>
      <c r="L111" s="116">
        <v>6.2812399999999998E-4</v>
      </c>
      <c r="M111" s="2">
        <v>0</v>
      </c>
      <c r="N111" s="2">
        <v>17</v>
      </c>
      <c r="O111" s="2">
        <v>35</v>
      </c>
      <c r="P111" s="126">
        <v>0</v>
      </c>
      <c r="Q111" s="106">
        <v>17</v>
      </c>
      <c r="R111" s="127">
        <v>35</v>
      </c>
      <c r="S111" s="2">
        <v>0</v>
      </c>
      <c r="T111" s="2">
        <v>15</v>
      </c>
      <c r="U111" s="127">
        <v>35</v>
      </c>
      <c r="V111" s="2">
        <v>0</v>
      </c>
      <c r="W111" s="2">
        <v>9</v>
      </c>
      <c r="X111" s="109">
        <v>29</v>
      </c>
    </row>
    <row r="112" spans="2:24" x14ac:dyDescent="0.25">
      <c r="B112">
        <v>20101910</v>
      </c>
      <c r="C112" s="103">
        <v>479</v>
      </c>
      <c r="D112" s="108">
        <v>475.1</v>
      </c>
      <c r="E112" s="99">
        <v>1.40223E-3</v>
      </c>
      <c r="F112" s="99">
        <v>1.5048699999999999E-3</v>
      </c>
      <c r="G112" s="132">
        <v>1.40223E-3</v>
      </c>
      <c r="H112" s="133">
        <v>1.4981E-3</v>
      </c>
      <c r="I112" s="99">
        <v>1.40223E-3</v>
      </c>
      <c r="J112" s="133">
        <v>1.4555200000000001E-3</v>
      </c>
      <c r="K112" s="99">
        <v>1.3014599999999999E-3</v>
      </c>
      <c r="L112" s="116">
        <v>1.31325E-3</v>
      </c>
      <c r="M112" s="2">
        <v>0</v>
      </c>
      <c r="N112" s="2">
        <v>32</v>
      </c>
      <c r="O112" s="2">
        <v>80</v>
      </c>
      <c r="P112" s="126">
        <v>0</v>
      </c>
      <c r="Q112" s="106">
        <v>30</v>
      </c>
      <c r="R112" s="127">
        <v>80</v>
      </c>
      <c r="S112" s="2">
        <v>2</v>
      </c>
      <c r="T112" s="2">
        <v>21</v>
      </c>
      <c r="U112" s="127">
        <v>78</v>
      </c>
      <c r="V112" s="2">
        <v>3</v>
      </c>
      <c r="W112" s="2">
        <v>13</v>
      </c>
      <c r="X112" s="109">
        <v>60</v>
      </c>
    </row>
    <row r="113" spans="2:24" x14ac:dyDescent="0.25">
      <c r="B113">
        <v>20102111</v>
      </c>
      <c r="C113" s="103">
        <v>511.6</v>
      </c>
      <c r="D113" s="108">
        <v>505.7</v>
      </c>
      <c r="E113" s="99">
        <v>9.6696300000000005E-4</v>
      </c>
      <c r="F113" s="99">
        <v>9.9833699999999997E-4</v>
      </c>
      <c r="G113" s="132">
        <v>9.6696300000000005E-4</v>
      </c>
      <c r="H113" s="133">
        <v>9.9288200000000005E-4</v>
      </c>
      <c r="I113" s="99">
        <v>9.6696300000000005E-4</v>
      </c>
      <c r="J113" s="133">
        <v>9.7924300000000008E-4</v>
      </c>
      <c r="K113" s="99">
        <v>9.5168599999999998E-4</v>
      </c>
      <c r="L113" s="116">
        <v>9.5014800000000005E-4</v>
      </c>
      <c r="M113" s="2">
        <v>0</v>
      </c>
      <c r="N113" s="2">
        <v>14</v>
      </c>
      <c r="O113" s="2">
        <v>41</v>
      </c>
      <c r="P113" s="126">
        <v>0</v>
      </c>
      <c r="Q113" s="106">
        <v>12</v>
      </c>
      <c r="R113" s="127">
        <v>41</v>
      </c>
      <c r="S113" s="2">
        <v>0</v>
      </c>
      <c r="T113" s="2">
        <v>8</v>
      </c>
      <c r="U113" s="127">
        <v>41</v>
      </c>
      <c r="V113" s="2">
        <v>0</v>
      </c>
      <c r="W113" s="2">
        <v>2</v>
      </c>
      <c r="X113" s="109">
        <v>39</v>
      </c>
    </row>
    <row r="114" spans="2:24" x14ac:dyDescent="0.25">
      <c r="B114">
        <v>20102207</v>
      </c>
      <c r="C114" s="103">
        <v>3778.8</v>
      </c>
      <c r="D114" s="108">
        <v>3690.6</v>
      </c>
      <c r="E114" s="99">
        <v>9.1619299999999999E-5</v>
      </c>
      <c r="F114" s="99">
        <v>1.0514399999999999E-4</v>
      </c>
      <c r="G114" s="132">
        <v>7.9086999999999997E-5</v>
      </c>
      <c r="H114" s="133">
        <v>7.3127399999999994E-5</v>
      </c>
      <c r="I114" s="99">
        <v>6.4973000000000003E-5</v>
      </c>
      <c r="J114" s="133">
        <v>5.6060200000000002E-5</v>
      </c>
      <c r="K114" s="99">
        <v>4.0638600000000001E-5</v>
      </c>
      <c r="L114" s="116">
        <v>3.5629400000000001E-5</v>
      </c>
      <c r="M114" s="2">
        <v>1</v>
      </c>
      <c r="N114" s="2">
        <v>26</v>
      </c>
      <c r="O114" s="2">
        <v>33</v>
      </c>
      <c r="P114" s="126">
        <v>3</v>
      </c>
      <c r="Q114" s="106">
        <v>2</v>
      </c>
      <c r="R114" s="127">
        <v>23</v>
      </c>
      <c r="S114" s="2">
        <v>2</v>
      </c>
      <c r="T114" s="2">
        <v>1</v>
      </c>
      <c r="U114" s="127">
        <v>14</v>
      </c>
      <c r="V114" s="2">
        <v>1</v>
      </c>
      <c r="W114" s="2">
        <v>0</v>
      </c>
      <c r="X114" s="109">
        <v>7</v>
      </c>
    </row>
    <row r="115" spans="2:24" x14ac:dyDescent="0.25">
      <c r="B115">
        <v>20102236</v>
      </c>
      <c r="C115" s="103">
        <v>509.2</v>
      </c>
      <c r="D115" s="108">
        <v>504.7</v>
      </c>
      <c r="E115" s="99">
        <v>1.6352199999999999E-3</v>
      </c>
      <c r="F115" s="99">
        <v>1.6653E-3</v>
      </c>
      <c r="G115" s="132">
        <v>1.6352199999999999E-3</v>
      </c>
      <c r="H115" s="133">
        <v>1.6625699999999999E-3</v>
      </c>
      <c r="I115" s="99">
        <v>1.6352199999999999E-3</v>
      </c>
      <c r="J115" s="133">
        <v>1.6552800000000001E-3</v>
      </c>
      <c r="K115" s="99">
        <v>1.6180599999999999E-3</v>
      </c>
      <c r="L115" s="116">
        <v>1.63068E-3</v>
      </c>
      <c r="M115" s="2">
        <v>0</v>
      </c>
      <c r="N115" s="2">
        <v>8</v>
      </c>
      <c r="O115" s="2">
        <v>22</v>
      </c>
      <c r="P115" s="126">
        <v>0</v>
      </c>
      <c r="Q115" s="106">
        <v>7</v>
      </c>
      <c r="R115" s="127">
        <v>22</v>
      </c>
      <c r="S115" s="2">
        <v>0</v>
      </c>
      <c r="T115" s="2">
        <v>5</v>
      </c>
      <c r="U115" s="127">
        <v>22</v>
      </c>
      <c r="V115" s="2">
        <v>0</v>
      </c>
      <c r="W115" s="2">
        <v>3</v>
      </c>
      <c r="X115" s="109">
        <v>21</v>
      </c>
    </row>
    <row r="116" spans="2:24" x14ac:dyDescent="0.25">
      <c r="B116">
        <v>20102251</v>
      </c>
      <c r="C116" s="103">
        <v>3098.1</v>
      </c>
      <c r="D116" s="108">
        <v>2784.5</v>
      </c>
      <c r="E116" s="99">
        <v>4.9314499999999995E-4</v>
      </c>
      <c r="F116" s="99">
        <v>5.25243E-4</v>
      </c>
      <c r="G116" s="132">
        <v>4.81273E-4</v>
      </c>
      <c r="H116" s="133">
        <v>4.9766800000000005E-4</v>
      </c>
      <c r="I116" s="99">
        <v>4.7741400000000001E-4</v>
      </c>
      <c r="J116" s="133">
        <v>4.9353999999999999E-4</v>
      </c>
      <c r="K116" s="99">
        <v>4.67026E-4</v>
      </c>
      <c r="L116" s="116">
        <v>4.8198199999999999E-4</v>
      </c>
      <c r="M116" s="2">
        <v>2</v>
      </c>
      <c r="N116" s="2">
        <v>27</v>
      </c>
      <c r="O116" s="2">
        <v>63</v>
      </c>
      <c r="P116" s="126">
        <v>2</v>
      </c>
      <c r="Q116" s="106">
        <v>10</v>
      </c>
      <c r="R116" s="127">
        <v>57</v>
      </c>
      <c r="S116" s="2">
        <v>2</v>
      </c>
      <c r="T116" s="2">
        <v>10</v>
      </c>
      <c r="U116" s="127">
        <v>55</v>
      </c>
      <c r="V116" s="2">
        <v>2</v>
      </c>
      <c r="W116" s="2">
        <v>10</v>
      </c>
      <c r="X116" s="109">
        <v>53</v>
      </c>
    </row>
    <row r="117" spans="2:24" x14ac:dyDescent="0.25">
      <c r="B117">
        <v>20102362</v>
      </c>
      <c r="C117" s="103">
        <v>2895.5</v>
      </c>
      <c r="D117" s="108">
        <v>2877.4</v>
      </c>
      <c r="E117" s="99">
        <v>2.8438699999999999E-4</v>
      </c>
      <c r="F117" s="99">
        <v>3.0934499999999999E-4</v>
      </c>
      <c r="G117" s="132">
        <v>2.7485999999999998E-4</v>
      </c>
      <c r="H117" s="133">
        <v>2.7578999999999999E-4</v>
      </c>
      <c r="I117" s="99">
        <v>2.6564999999999998E-4</v>
      </c>
      <c r="J117" s="133">
        <v>2.6572299999999999E-4</v>
      </c>
      <c r="K117" s="99">
        <v>2.52947E-4</v>
      </c>
      <c r="L117" s="116">
        <v>2.5262100000000002E-4</v>
      </c>
      <c r="M117" s="2">
        <v>0</v>
      </c>
      <c r="N117" s="2">
        <v>31</v>
      </c>
      <c r="O117" s="2">
        <v>28</v>
      </c>
      <c r="P117" s="126">
        <v>0</v>
      </c>
      <c r="Q117" s="106">
        <v>3</v>
      </c>
      <c r="R117" s="127">
        <v>22</v>
      </c>
      <c r="S117" s="2">
        <v>0</v>
      </c>
      <c r="T117" s="2">
        <v>1</v>
      </c>
      <c r="U117" s="127">
        <v>17</v>
      </c>
      <c r="V117" s="2">
        <v>0</v>
      </c>
      <c r="W117" s="2">
        <v>0</v>
      </c>
      <c r="X117" s="109">
        <v>11</v>
      </c>
    </row>
    <row r="118" spans="2:24" x14ac:dyDescent="0.25">
      <c r="B118">
        <v>20110104</v>
      </c>
      <c r="C118" s="103">
        <v>638.9</v>
      </c>
      <c r="D118" s="108">
        <v>631.79999999999995</v>
      </c>
      <c r="E118" s="99">
        <v>1.6149300000000001E-3</v>
      </c>
      <c r="F118" s="99">
        <v>1.03484E-3</v>
      </c>
      <c r="G118" s="132">
        <v>1.6149300000000001E-3</v>
      </c>
      <c r="H118" s="133">
        <v>1.0231999999999999E-3</v>
      </c>
      <c r="I118" s="99">
        <v>1.6019700000000001E-3</v>
      </c>
      <c r="J118" s="133">
        <v>9.9336299999999993E-4</v>
      </c>
      <c r="K118" s="99">
        <v>1.59837E-3</v>
      </c>
      <c r="L118" s="116">
        <v>9.7007500000000004E-4</v>
      </c>
      <c r="M118" s="2">
        <v>2</v>
      </c>
      <c r="N118" s="2">
        <v>24</v>
      </c>
      <c r="O118" s="2">
        <v>28</v>
      </c>
      <c r="P118" s="126">
        <v>2</v>
      </c>
      <c r="Q118" s="106">
        <v>21</v>
      </c>
      <c r="R118" s="127">
        <v>28</v>
      </c>
      <c r="S118" s="2">
        <v>2</v>
      </c>
      <c r="T118" s="2">
        <v>15</v>
      </c>
      <c r="U118" s="127">
        <v>26</v>
      </c>
      <c r="V118" s="2">
        <v>2</v>
      </c>
      <c r="W118" s="2">
        <v>7</v>
      </c>
      <c r="X118" s="109">
        <v>25</v>
      </c>
    </row>
    <row r="119" spans="2:24" x14ac:dyDescent="0.25">
      <c r="B119">
        <v>20110187</v>
      </c>
      <c r="C119" s="103">
        <v>357</v>
      </c>
      <c r="D119" s="108">
        <v>353.7</v>
      </c>
      <c r="E119" s="99">
        <v>1.1810200000000001E-3</v>
      </c>
      <c r="F119" s="99">
        <v>1.15964E-3</v>
      </c>
      <c r="G119" s="132">
        <v>1.1810200000000001E-3</v>
      </c>
      <c r="H119" s="133">
        <v>1.15964E-3</v>
      </c>
      <c r="I119" s="99">
        <v>1.1810200000000001E-3</v>
      </c>
      <c r="J119" s="133">
        <v>1.15964E-3</v>
      </c>
      <c r="K119" s="99">
        <v>1.1810200000000001E-3</v>
      </c>
      <c r="L119" s="116">
        <v>1.1453399999999999E-3</v>
      </c>
      <c r="M119" s="2">
        <v>1</v>
      </c>
      <c r="N119" s="2">
        <v>15</v>
      </c>
      <c r="O119" s="2">
        <v>52</v>
      </c>
      <c r="P119" s="126">
        <v>1</v>
      </c>
      <c r="Q119" s="106">
        <v>15</v>
      </c>
      <c r="R119" s="127">
        <v>52</v>
      </c>
      <c r="S119" s="2">
        <v>1</v>
      </c>
      <c r="T119" s="2">
        <v>15</v>
      </c>
      <c r="U119" s="127">
        <v>52</v>
      </c>
      <c r="V119" s="2">
        <v>2</v>
      </c>
      <c r="W119" s="2">
        <v>12</v>
      </c>
      <c r="X119" s="109">
        <v>51</v>
      </c>
    </row>
    <row r="120" spans="2:24" x14ac:dyDescent="0.25">
      <c r="B120">
        <v>20110299</v>
      </c>
      <c r="C120" s="103">
        <v>1359.3</v>
      </c>
      <c r="D120" s="108">
        <v>1345.3</v>
      </c>
      <c r="E120" s="99">
        <v>3.40942E-4</v>
      </c>
      <c r="F120" s="99">
        <v>3.63297E-4</v>
      </c>
      <c r="G120" s="132">
        <v>3.40942E-4</v>
      </c>
      <c r="H120" s="133">
        <v>3.5441100000000001E-4</v>
      </c>
      <c r="I120" s="99">
        <v>3.2064799999999998E-4</v>
      </c>
      <c r="J120" s="133">
        <v>3.2672799999999998E-4</v>
      </c>
      <c r="K120" s="99">
        <v>2.8682399999999998E-4</v>
      </c>
      <c r="L120" s="116">
        <v>2.8810899999999999E-4</v>
      </c>
      <c r="M120" s="2">
        <v>0</v>
      </c>
      <c r="N120" s="2">
        <v>16</v>
      </c>
      <c r="O120" s="2">
        <v>42</v>
      </c>
      <c r="P120" s="126">
        <v>0</v>
      </c>
      <c r="Q120" s="106">
        <v>11</v>
      </c>
      <c r="R120" s="127">
        <v>42</v>
      </c>
      <c r="S120" s="2">
        <v>0</v>
      </c>
      <c r="T120" s="2">
        <v>5</v>
      </c>
      <c r="U120" s="127">
        <v>37</v>
      </c>
      <c r="V120" s="2">
        <v>0</v>
      </c>
      <c r="W120" s="2">
        <v>1</v>
      </c>
      <c r="X120" s="109">
        <v>29</v>
      </c>
    </row>
    <row r="121" spans="2:24" x14ac:dyDescent="0.25">
      <c r="B121">
        <v>20110402</v>
      </c>
      <c r="C121" s="103">
        <v>454.8</v>
      </c>
      <c r="D121" s="108">
        <v>446.7</v>
      </c>
      <c r="E121" s="99">
        <v>2.9521700000000002E-4</v>
      </c>
      <c r="F121" s="99">
        <v>3.5815599999999999E-4</v>
      </c>
      <c r="G121" s="132">
        <v>2.9521700000000002E-4</v>
      </c>
      <c r="H121" s="133">
        <v>3.5815599999999999E-4</v>
      </c>
      <c r="I121" s="99">
        <v>2.8611799999999997E-4</v>
      </c>
      <c r="J121" s="133">
        <v>3.4271799999999999E-4</v>
      </c>
      <c r="K121" s="99">
        <v>2.4466599999999999E-4</v>
      </c>
      <c r="L121" s="116">
        <v>2.6244199999999999E-4</v>
      </c>
      <c r="M121" s="2">
        <v>0</v>
      </c>
      <c r="N121" s="2">
        <v>19</v>
      </c>
      <c r="O121" s="2">
        <v>23</v>
      </c>
      <c r="P121" s="126">
        <v>0</v>
      </c>
      <c r="Q121" s="106">
        <v>19</v>
      </c>
      <c r="R121" s="127">
        <v>23</v>
      </c>
      <c r="S121" s="2">
        <v>0</v>
      </c>
      <c r="T121" s="2">
        <v>18</v>
      </c>
      <c r="U121" s="127">
        <v>22</v>
      </c>
      <c r="V121" s="2">
        <v>0</v>
      </c>
      <c r="W121" s="2">
        <v>8</v>
      </c>
      <c r="X121" s="109">
        <v>17</v>
      </c>
    </row>
    <row r="122" spans="2:24" x14ac:dyDescent="0.25">
      <c r="B122">
        <v>20110602</v>
      </c>
      <c r="C122" s="103">
        <v>867.4</v>
      </c>
      <c r="D122" s="108">
        <v>860.8</v>
      </c>
      <c r="E122" s="99">
        <v>1.0378500000000001E-3</v>
      </c>
      <c r="F122" s="99">
        <v>1.07142E-3</v>
      </c>
      <c r="G122" s="132">
        <v>1.0378500000000001E-3</v>
      </c>
      <c r="H122" s="133">
        <v>1.04364E-3</v>
      </c>
      <c r="I122" s="99">
        <v>1.01823E-3</v>
      </c>
      <c r="J122" s="133">
        <v>1.0116000000000001E-3</v>
      </c>
      <c r="K122" s="99">
        <v>9.6416799999999995E-4</v>
      </c>
      <c r="L122" s="116">
        <v>9.4590099999999997E-4</v>
      </c>
      <c r="M122" s="2">
        <v>2</v>
      </c>
      <c r="N122" s="2">
        <v>44</v>
      </c>
      <c r="O122" s="2">
        <v>87</v>
      </c>
      <c r="P122" s="126">
        <v>2</v>
      </c>
      <c r="Q122" s="106">
        <v>33</v>
      </c>
      <c r="R122" s="127">
        <v>87</v>
      </c>
      <c r="S122" s="2">
        <v>3</v>
      </c>
      <c r="T122" s="2">
        <v>28</v>
      </c>
      <c r="U122" s="127">
        <v>82</v>
      </c>
      <c r="V122" s="2">
        <v>2</v>
      </c>
      <c r="W122" s="2">
        <v>22</v>
      </c>
      <c r="X122" s="109">
        <v>76</v>
      </c>
    </row>
    <row r="123" spans="2:24" x14ac:dyDescent="0.25">
      <c r="B123">
        <v>20110619</v>
      </c>
      <c r="C123" s="103">
        <v>2197.1999999999998</v>
      </c>
      <c r="D123" s="108">
        <v>2117.1</v>
      </c>
      <c r="E123" s="99">
        <v>4.0616300000000002E-4</v>
      </c>
      <c r="F123" s="99">
        <v>4.22392E-4</v>
      </c>
      <c r="G123" s="132">
        <v>3.8837700000000003E-4</v>
      </c>
      <c r="H123" s="133">
        <v>3.8981699999999998E-4</v>
      </c>
      <c r="I123" s="99">
        <v>3.4045700000000001E-4</v>
      </c>
      <c r="J123" s="133">
        <v>3.5224699999999998E-4</v>
      </c>
      <c r="K123" s="99">
        <v>3.0613999999999999E-4</v>
      </c>
      <c r="L123" s="116">
        <v>2.7993000000000001E-4</v>
      </c>
      <c r="M123" s="2">
        <v>4</v>
      </c>
      <c r="N123" s="2">
        <v>48</v>
      </c>
      <c r="O123" s="2">
        <v>80</v>
      </c>
      <c r="P123" s="126">
        <v>4</v>
      </c>
      <c r="Q123" s="106">
        <v>33</v>
      </c>
      <c r="R123" s="127">
        <v>74</v>
      </c>
      <c r="S123" s="2">
        <v>3</v>
      </c>
      <c r="T123" s="2">
        <v>33</v>
      </c>
      <c r="U123" s="127">
        <v>63</v>
      </c>
      <c r="V123" s="2">
        <v>5</v>
      </c>
      <c r="W123" s="2">
        <v>29</v>
      </c>
      <c r="X123" s="109">
        <v>56</v>
      </c>
    </row>
    <row r="124" spans="2:24" x14ac:dyDescent="0.25">
      <c r="B124">
        <v>20110891</v>
      </c>
      <c r="C124" s="103">
        <v>5299.3</v>
      </c>
      <c r="D124" s="108">
        <v>3886</v>
      </c>
      <c r="E124" s="99">
        <v>1.2476300000000001E-4</v>
      </c>
      <c r="F124" s="99">
        <v>1.4257000000000001E-4</v>
      </c>
      <c r="G124" s="132">
        <v>1.18689E-4</v>
      </c>
      <c r="H124" s="133">
        <v>1.3322299999999999E-4</v>
      </c>
      <c r="I124" s="99">
        <v>1.02552E-4</v>
      </c>
      <c r="J124" s="133">
        <v>1.25296E-4</v>
      </c>
      <c r="K124" s="99">
        <v>9.7866699999999996E-5</v>
      </c>
      <c r="L124" s="116">
        <v>1.08968E-4</v>
      </c>
      <c r="M124" s="2">
        <v>0</v>
      </c>
      <c r="N124" s="2">
        <v>5</v>
      </c>
      <c r="O124" s="2">
        <v>24</v>
      </c>
      <c r="P124" s="126">
        <v>1</v>
      </c>
      <c r="Q124" s="106">
        <v>1</v>
      </c>
      <c r="R124" s="127">
        <v>19</v>
      </c>
      <c r="S124" s="2">
        <v>0</v>
      </c>
      <c r="T124" s="2">
        <v>2</v>
      </c>
      <c r="U124" s="127">
        <v>15</v>
      </c>
      <c r="V124" s="2">
        <v>0</v>
      </c>
      <c r="W124" s="2">
        <v>0</v>
      </c>
      <c r="X124" s="109">
        <v>14</v>
      </c>
    </row>
    <row r="125" spans="2:24" x14ac:dyDescent="0.25">
      <c r="B125">
        <v>20111053</v>
      </c>
      <c r="C125" s="103">
        <v>22939.3</v>
      </c>
      <c r="D125" s="108">
        <v>6558.9</v>
      </c>
      <c r="E125" s="99">
        <v>3.2409400000000002E-5</v>
      </c>
      <c r="F125" s="99">
        <v>5.57286E-5</v>
      </c>
      <c r="G125" s="132">
        <v>8.21759E-6</v>
      </c>
      <c r="H125" s="133">
        <v>2.4955200000000001E-5</v>
      </c>
      <c r="I125" s="99">
        <v>8.0171600000000007E-6</v>
      </c>
      <c r="J125" s="133">
        <v>2.3062500000000002E-5</v>
      </c>
      <c r="K125" s="99">
        <v>7.7165199999999994E-6</v>
      </c>
      <c r="L125" s="116">
        <v>2.3062500000000002E-5</v>
      </c>
      <c r="M125" s="2">
        <v>17</v>
      </c>
      <c r="N125" s="2">
        <v>22</v>
      </c>
      <c r="O125" s="2">
        <v>26</v>
      </c>
      <c r="P125" s="126">
        <v>1</v>
      </c>
      <c r="Q125" s="106">
        <v>1</v>
      </c>
      <c r="R125" s="127">
        <v>2</v>
      </c>
      <c r="S125" s="2">
        <v>1</v>
      </c>
      <c r="T125" s="2">
        <v>0</v>
      </c>
      <c r="U125" s="127">
        <v>1</v>
      </c>
      <c r="V125" s="2">
        <v>0</v>
      </c>
      <c r="W125" s="2">
        <v>0</v>
      </c>
      <c r="X125" s="109">
        <v>1</v>
      </c>
    </row>
    <row r="126" spans="2:24" x14ac:dyDescent="0.25">
      <c r="B126">
        <v>20111249</v>
      </c>
      <c r="C126" s="103">
        <v>21865.7</v>
      </c>
      <c r="D126" s="108">
        <v>7668.6</v>
      </c>
      <c r="E126" s="99">
        <v>1.2868499999999999E-4</v>
      </c>
      <c r="F126" s="99">
        <v>1.56002E-4</v>
      </c>
      <c r="G126" s="132">
        <v>1.0740599999999999E-4</v>
      </c>
      <c r="H126" s="133">
        <v>1.3705600000000001E-4</v>
      </c>
      <c r="I126" s="99">
        <v>1.03138E-4</v>
      </c>
      <c r="J126" s="133">
        <v>1.3244E-4</v>
      </c>
      <c r="K126" s="99">
        <v>6.3943199999999995E-5</v>
      </c>
      <c r="L126" s="116">
        <v>7.3744200000000005E-5</v>
      </c>
      <c r="M126" s="2">
        <v>10</v>
      </c>
      <c r="N126" s="2">
        <v>17</v>
      </c>
      <c r="O126" s="2">
        <v>43</v>
      </c>
      <c r="P126" s="126">
        <v>0</v>
      </c>
      <c r="Q126" s="106">
        <v>6</v>
      </c>
      <c r="R126" s="127">
        <v>22</v>
      </c>
      <c r="S126" s="2">
        <v>1</v>
      </c>
      <c r="T126" s="2">
        <v>8</v>
      </c>
      <c r="U126" s="127">
        <v>18</v>
      </c>
      <c r="V126" s="2">
        <v>0</v>
      </c>
      <c r="W126" s="2">
        <v>3</v>
      </c>
      <c r="X126" s="109">
        <v>5</v>
      </c>
    </row>
    <row r="127" spans="2:24" x14ac:dyDescent="0.25">
      <c r="B127">
        <v>20111347</v>
      </c>
      <c r="C127" s="103">
        <v>3722.5</v>
      </c>
      <c r="D127" s="108">
        <v>3600.7</v>
      </c>
      <c r="E127" s="99">
        <v>2.2960400000000001E-4</v>
      </c>
      <c r="F127" s="99">
        <v>2.6865800000000002E-4</v>
      </c>
      <c r="G127" s="132">
        <v>2.0823700000000001E-4</v>
      </c>
      <c r="H127" s="133">
        <v>2.2294599999999999E-4</v>
      </c>
      <c r="I127" s="99">
        <v>1.73654E-4</v>
      </c>
      <c r="J127" s="133">
        <v>1.80297E-4</v>
      </c>
      <c r="K127" s="99">
        <v>4.9527300000000003E-5</v>
      </c>
      <c r="L127" s="116">
        <v>5.0948100000000001E-5</v>
      </c>
      <c r="M127" s="2">
        <v>0</v>
      </c>
      <c r="N127" s="2">
        <v>39</v>
      </c>
      <c r="O127" s="2">
        <v>75</v>
      </c>
      <c r="P127" s="126">
        <v>1</v>
      </c>
      <c r="Q127" s="106">
        <v>7</v>
      </c>
      <c r="R127" s="127">
        <v>58</v>
      </c>
      <c r="S127" s="2">
        <v>0</v>
      </c>
      <c r="T127" s="2">
        <v>2</v>
      </c>
      <c r="U127" s="127">
        <v>41</v>
      </c>
      <c r="V127" s="2">
        <v>0</v>
      </c>
      <c r="W127" s="2">
        <v>0</v>
      </c>
      <c r="X127" s="109">
        <v>10</v>
      </c>
    </row>
    <row r="128" spans="2:24" x14ac:dyDescent="0.25">
      <c r="B128">
        <v>20120568</v>
      </c>
      <c r="C128" s="103">
        <v>10941.8</v>
      </c>
      <c r="D128" s="108">
        <v>6759.1</v>
      </c>
      <c r="E128" s="99">
        <v>4.5591099999999998E-5</v>
      </c>
      <c r="F128" s="99">
        <v>4.9724700000000002E-5</v>
      </c>
      <c r="G128" s="132">
        <v>1.7059899999999999E-5</v>
      </c>
      <c r="H128" s="133">
        <v>1.5033E-5</v>
      </c>
      <c r="I128" s="99">
        <v>1.5967399999999999E-5</v>
      </c>
      <c r="J128" s="133">
        <v>1.36046E-5</v>
      </c>
      <c r="K128" s="99">
        <v>1.4244600000000001E-5</v>
      </c>
      <c r="L128" s="116">
        <v>1.1223799999999999E-5</v>
      </c>
      <c r="M128" s="2">
        <v>0</v>
      </c>
      <c r="N128" s="2">
        <v>19</v>
      </c>
      <c r="O128" s="2">
        <v>34</v>
      </c>
      <c r="P128" s="126">
        <v>0</v>
      </c>
      <c r="Q128" s="106">
        <v>1</v>
      </c>
      <c r="R128" s="127">
        <v>5</v>
      </c>
      <c r="S128" s="2">
        <v>0</v>
      </c>
      <c r="T128" s="2">
        <v>0</v>
      </c>
      <c r="U128" s="127">
        <v>4</v>
      </c>
      <c r="V128" s="2">
        <v>0</v>
      </c>
      <c r="W128" s="2">
        <v>0</v>
      </c>
      <c r="X128" s="109">
        <v>2</v>
      </c>
    </row>
    <row r="129" spans="1:24" x14ac:dyDescent="0.25">
      <c r="B129">
        <v>20121119</v>
      </c>
      <c r="C129" s="103">
        <v>378.8</v>
      </c>
      <c r="D129" s="108">
        <v>375.3</v>
      </c>
      <c r="E129" s="99">
        <v>1.19176E-3</v>
      </c>
      <c r="F129" s="99">
        <v>1.2531199999999999E-3</v>
      </c>
      <c r="G129" s="132">
        <v>1.19176E-3</v>
      </c>
      <c r="H129" s="133">
        <v>1.2531199999999999E-3</v>
      </c>
      <c r="I129" s="99">
        <v>1.19176E-3</v>
      </c>
      <c r="J129" s="133">
        <v>1.2531199999999999E-3</v>
      </c>
      <c r="K129" s="99">
        <v>1.1856900000000001E-3</v>
      </c>
      <c r="L129" s="116">
        <v>1.2224899999999999E-3</v>
      </c>
      <c r="M129" s="2">
        <v>0</v>
      </c>
      <c r="N129" s="2">
        <v>22</v>
      </c>
      <c r="O129" s="2">
        <v>38</v>
      </c>
      <c r="P129" s="126">
        <v>0</v>
      </c>
      <c r="Q129" s="106">
        <v>22</v>
      </c>
      <c r="R129" s="127">
        <v>38</v>
      </c>
      <c r="S129" s="2">
        <v>0</v>
      </c>
      <c r="T129" s="2">
        <v>22</v>
      </c>
      <c r="U129" s="127">
        <v>38</v>
      </c>
      <c r="V129" s="2">
        <v>1</v>
      </c>
      <c r="W129" s="2">
        <v>16</v>
      </c>
      <c r="X129" s="109">
        <v>36</v>
      </c>
    </row>
    <row r="130" spans="1:24" x14ac:dyDescent="0.25">
      <c r="B130">
        <v>20121257</v>
      </c>
      <c r="C130" s="103">
        <v>909.1</v>
      </c>
      <c r="D130" s="108">
        <v>900.2</v>
      </c>
      <c r="E130" s="99">
        <v>6.7869800000000004E-4</v>
      </c>
      <c r="F130" s="99">
        <v>7.2935600000000001E-4</v>
      </c>
      <c r="G130" s="132">
        <v>6.7869800000000004E-4</v>
      </c>
      <c r="H130" s="133">
        <v>7.0075400000000005E-4</v>
      </c>
      <c r="I130" s="99">
        <v>6.4127400000000005E-4</v>
      </c>
      <c r="J130" s="133">
        <v>6.4916799999999999E-4</v>
      </c>
      <c r="K130" s="99">
        <v>6.0688400000000003E-4</v>
      </c>
      <c r="L130" s="116">
        <v>6.1035099999999997E-4</v>
      </c>
      <c r="M130" s="2">
        <v>0</v>
      </c>
      <c r="N130" s="2">
        <v>22</v>
      </c>
      <c r="O130" s="2">
        <v>46</v>
      </c>
      <c r="P130" s="126">
        <v>0</v>
      </c>
      <c r="Q130" s="106">
        <v>11</v>
      </c>
      <c r="R130" s="127">
        <v>46</v>
      </c>
      <c r="S130" s="2">
        <v>0</v>
      </c>
      <c r="T130" s="2">
        <v>4</v>
      </c>
      <c r="U130" s="127">
        <v>36</v>
      </c>
      <c r="V130" s="2">
        <v>0</v>
      </c>
      <c r="W130" s="2">
        <v>1</v>
      </c>
      <c r="X130" s="109">
        <v>28</v>
      </c>
    </row>
    <row r="131" spans="1:24" x14ac:dyDescent="0.25">
      <c r="C131" s="105"/>
      <c r="D131" s="109"/>
      <c r="E131" s="2"/>
      <c r="F131" s="2"/>
      <c r="G131" s="126"/>
      <c r="H131" s="127"/>
      <c r="I131" s="2"/>
      <c r="J131" s="127"/>
      <c r="K131" s="2"/>
      <c r="L131" s="109"/>
      <c r="M131" s="2"/>
      <c r="N131" s="2"/>
      <c r="O131" s="2"/>
      <c r="P131" s="126"/>
      <c r="Q131" s="106"/>
      <c r="R131" s="127"/>
      <c r="S131" s="2"/>
      <c r="T131" s="2"/>
      <c r="U131" s="127"/>
      <c r="V131" s="2"/>
      <c r="W131" s="2"/>
      <c r="X131" s="109"/>
    </row>
    <row r="132" spans="1:24" x14ac:dyDescent="0.25">
      <c r="A132" t="s">
        <v>1113</v>
      </c>
      <c r="B132">
        <v>20094785</v>
      </c>
      <c r="C132" s="103">
        <v>36964.400000000001</v>
      </c>
      <c r="D132" s="108">
        <v>7615.9</v>
      </c>
      <c r="E132" s="99">
        <v>5.4137400000000001E-5</v>
      </c>
      <c r="F132" s="99">
        <v>4.8744E-5</v>
      </c>
      <c r="G132" s="132">
        <v>1.0011500000000001E-5</v>
      </c>
      <c r="H132" s="133">
        <v>1.1881399999999999E-5</v>
      </c>
      <c r="I132" s="99">
        <v>8.0656999999999997E-6</v>
      </c>
      <c r="J132" s="133">
        <v>7.9970600000000006E-6</v>
      </c>
      <c r="K132" s="99">
        <v>8.0656999999999997E-6</v>
      </c>
      <c r="L132" s="116">
        <v>7.9970600000000006E-6</v>
      </c>
      <c r="M132" s="2">
        <v>9</v>
      </c>
      <c r="N132" s="2">
        <v>1</v>
      </c>
      <c r="O132" s="2">
        <v>36</v>
      </c>
      <c r="P132" s="126">
        <v>0</v>
      </c>
      <c r="Q132" s="106">
        <v>1</v>
      </c>
      <c r="R132" s="127">
        <v>2</v>
      </c>
      <c r="S132" s="2">
        <v>0</v>
      </c>
      <c r="T132" s="2">
        <v>0</v>
      </c>
      <c r="U132" s="127">
        <v>1</v>
      </c>
      <c r="V132" s="2">
        <v>0</v>
      </c>
      <c r="W132" s="2">
        <v>0</v>
      </c>
      <c r="X132" s="109">
        <v>1</v>
      </c>
    </row>
    <row r="133" spans="1:24" x14ac:dyDescent="0.25">
      <c r="B133">
        <v>20095121</v>
      </c>
      <c r="C133" s="103">
        <v>3839.1</v>
      </c>
      <c r="D133" s="108">
        <v>3766.8</v>
      </c>
      <c r="E133" s="99">
        <v>1.2255E-3</v>
      </c>
      <c r="F133" s="99">
        <v>9.5888400000000002E-4</v>
      </c>
      <c r="G133" s="132">
        <v>1.20298E-3</v>
      </c>
      <c r="H133" s="133">
        <v>9.2362E-4</v>
      </c>
      <c r="I133" s="99">
        <v>1.1915000000000001E-3</v>
      </c>
      <c r="J133" s="133">
        <v>9.0822199999999998E-4</v>
      </c>
      <c r="K133" s="99">
        <v>1.13529E-3</v>
      </c>
      <c r="L133" s="116">
        <v>8.8142799999999996E-4</v>
      </c>
      <c r="M133" s="2">
        <v>7</v>
      </c>
      <c r="N133" s="2">
        <v>20</v>
      </c>
      <c r="O133" s="2">
        <v>79</v>
      </c>
      <c r="P133" s="126">
        <v>7</v>
      </c>
      <c r="Q133" s="106">
        <v>6</v>
      </c>
      <c r="R133" s="127">
        <v>68</v>
      </c>
      <c r="S133" s="2">
        <v>7</v>
      </c>
      <c r="T133" s="2">
        <v>2</v>
      </c>
      <c r="U133" s="127">
        <v>61</v>
      </c>
      <c r="V133" s="2">
        <v>4</v>
      </c>
      <c r="W133" s="2">
        <v>3</v>
      </c>
      <c r="X133" s="109">
        <v>54</v>
      </c>
    </row>
    <row r="134" spans="1:24" x14ac:dyDescent="0.25">
      <c r="B134">
        <v>20095236</v>
      </c>
      <c r="C134" s="103">
        <v>5728</v>
      </c>
      <c r="D134" s="108">
        <v>4208.3</v>
      </c>
      <c r="E134" s="99">
        <v>5.0085699999999995E-4</v>
      </c>
      <c r="F134" s="99">
        <v>4.8090300000000003E-4</v>
      </c>
      <c r="G134" s="132">
        <v>4.22478E-4</v>
      </c>
      <c r="H134" s="133">
        <v>3.5726600000000002E-4</v>
      </c>
      <c r="I134" s="99">
        <v>3.9655400000000003E-4</v>
      </c>
      <c r="J134" s="133">
        <v>3.3218000000000001E-4</v>
      </c>
      <c r="K134" s="99">
        <v>3.5554199999999998E-4</v>
      </c>
      <c r="L134" s="116">
        <v>2.9744599999999998E-4</v>
      </c>
      <c r="M134" s="2">
        <v>2</v>
      </c>
      <c r="N134" s="2">
        <v>57</v>
      </c>
      <c r="O134" s="2">
        <v>84</v>
      </c>
      <c r="P134" s="126">
        <v>3</v>
      </c>
      <c r="Q134" s="106">
        <v>18</v>
      </c>
      <c r="R134" s="127">
        <v>39</v>
      </c>
      <c r="S134" s="2">
        <v>2</v>
      </c>
      <c r="T134" s="2">
        <v>18</v>
      </c>
      <c r="U134" s="127">
        <v>31</v>
      </c>
      <c r="V134" s="2">
        <v>1</v>
      </c>
      <c r="W134" s="2">
        <v>5</v>
      </c>
      <c r="X134" s="109">
        <v>25</v>
      </c>
    </row>
    <row r="135" spans="1:24" x14ac:dyDescent="0.25">
      <c r="B135">
        <v>20095267</v>
      </c>
      <c r="C135" s="103">
        <v>4195.8</v>
      </c>
      <c r="D135" s="108">
        <v>4060.4</v>
      </c>
      <c r="E135" s="99">
        <v>1.24558E-3</v>
      </c>
      <c r="F135" s="99">
        <v>1.0754E-3</v>
      </c>
      <c r="G135" s="132">
        <v>1.22817E-3</v>
      </c>
      <c r="H135" s="133">
        <v>1.0406899999999999E-3</v>
      </c>
      <c r="I135" s="99">
        <v>1.1691399999999999E-3</v>
      </c>
      <c r="J135" s="133">
        <v>9.7511899999999999E-4</v>
      </c>
      <c r="K135" s="99">
        <v>9.9950899999999999E-4</v>
      </c>
      <c r="L135" s="116">
        <v>8.2226599999999999E-4</v>
      </c>
      <c r="M135" s="2">
        <v>8</v>
      </c>
      <c r="N135" s="2">
        <v>19</v>
      </c>
      <c r="O135" s="2">
        <v>120</v>
      </c>
      <c r="P135" s="126">
        <v>10</v>
      </c>
      <c r="Q135" s="106">
        <v>4</v>
      </c>
      <c r="R135" s="127">
        <v>108</v>
      </c>
      <c r="S135" s="2">
        <v>10</v>
      </c>
      <c r="T135" s="2">
        <v>2</v>
      </c>
      <c r="U135" s="127">
        <v>88</v>
      </c>
      <c r="V135" s="2">
        <v>8</v>
      </c>
      <c r="W135" s="2">
        <v>2</v>
      </c>
      <c r="X135" s="109">
        <v>50</v>
      </c>
    </row>
    <row r="136" spans="1:24" x14ac:dyDescent="0.25">
      <c r="B136">
        <v>20095383</v>
      </c>
      <c r="C136" s="103">
        <v>40750</v>
      </c>
      <c r="D136" s="108">
        <v>7613.2</v>
      </c>
      <c r="E136" s="99">
        <v>1.2282800000000001E-4</v>
      </c>
      <c r="F136" s="99">
        <v>1.0438E-4</v>
      </c>
      <c r="G136" s="132">
        <v>9.4971100000000003E-5</v>
      </c>
      <c r="H136" s="133">
        <v>8.4342299999999994E-5</v>
      </c>
      <c r="I136" s="99">
        <v>8.6786400000000006E-5</v>
      </c>
      <c r="J136" s="133">
        <v>8.0456600000000005E-5</v>
      </c>
      <c r="K136" s="99">
        <v>7.9612300000000003E-5</v>
      </c>
      <c r="L136" s="116">
        <v>6.5599599999999994E-5</v>
      </c>
      <c r="M136" s="2">
        <v>23</v>
      </c>
      <c r="N136" s="2">
        <v>5</v>
      </c>
      <c r="O136" s="2">
        <v>30</v>
      </c>
      <c r="P136" s="126">
        <v>0</v>
      </c>
      <c r="Q136" s="106">
        <v>0</v>
      </c>
      <c r="R136" s="127">
        <v>7</v>
      </c>
      <c r="S136" s="2">
        <v>0</v>
      </c>
      <c r="T136" s="2">
        <v>1</v>
      </c>
      <c r="U136" s="127">
        <v>4</v>
      </c>
      <c r="V136" s="2">
        <v>0</v>
      </c>
      <c r="W136" s="2">
        <v>0</v>
      </c>
      <c r="X136" s="109">
        <v>1</v>
      </c>
    </row>
    <row r="137" spans="1:24" x14ac:dyDescent="0.25">
      <c r="B137">
        <v>20095452</v>
      </c>
      <c r="C137" s="103">
        <v>1616.5</v>
      </c>
      <c r="D137" s="108">
        <v>1605.5</v>
      </c>
      <c r="E137" s="99">
        <v>2.09192E-4</v>
      </c>
      <c r="F137" s="99">
        <v>2.4567600000000001E-4</v>
      </c>
      <c r="G137" s="132">
        <v>1.98068E-4</v>
      </c>
      <c r="H137" s="133">
        <v>2.0665700000000001E-4</v>
      </c>
      <c r="I137" s="99">
        <v>1.9196799999999999E-4</v>
      </c>
      <c r="J137" s="133">
        <v>1.98347E-4</v>
      </c>
      <c r="K137" s="99">
        <v>1.51063E-4</v>
      </c>
      <c r="L137" s="116">
        <v>1.5138E-4</v>
      </c>
      <c r="M137" s="2">
        <v>0</v>
      </c>
      <c r="N137" s="2">
        <v>21</v>
      </c>
      <c r="O137" s="2">
        <v>24</v>
      </c>
      <c r="P137" s="126">
        <v>0</v>
      </c>
      <c r="Q137" s="106">
        <v>7</v>
      </c>
      <c r="R137" s="127">
        <v>21</v>
      </c>
      <c r="S137" s="2">
        <v>0</v>
      </c>
      <c r="T137" s="2">
        <v>5</v>
      </c>
      <c r="U137" s="127">
        <v>20</v>
      </c>
      <c r="V137" s="2">
        <v>0</v>
      </c>
      <c r="W137" s="2">
        <v>0</v>
      </c>
      <c r="X137" s="109">
        <v>14</v>
      </c>
    </row>
    <row r="138" spans="1:24" x14ac:dyDescent="0.25">
      <c r="B138">
        <v>20095501</v>
      </c>
      <c r="C138" s="103">
        <v>73585.600000000006</v>
      </c>
      <c r="D138" s="108">
        <v>7712.5</v>
      </c>
      <c r="E138" s="99">
        <v>4.7532099999999998E-5</v>
      </c>
      <c r="F138" s="99">
        <v>3.82059E-5</v>
      </c>
      <c r="G138" s="132">
        <v>2.5224299999999998E-5</v>
      </c>
      <c r="H138" s="133">
        <v>2.2637799999999999E-5</v>
      </c>
      <c r="I138" s="99">
        <v>1.6230299999999999E-5</v>
      </c>
      <c r="J138" s="133">
        <v>1.8726899999999999E-5</v>
      </c>
      <c r="K138" s="99">
        <v>9.0255800000000008E-6</v>
      </c>
      <c r="L138" s="116">
        <v>8.1977299999999999E-6</v>
      </c>
      <c r="M138" s="2">
        <v>41</v>
      </c>
      <c r="N138" s="2">
        <v>5</v>
      </c>
      <c r="O138" s="2">
        <v>21</v>
      </c>
      <c r="P138" s="126">
        <v>0</v>
      </c>
      <c r="Q138" s="106">
        <v>1</v>
      </c>
      <c r="R138" s="127">
        <v>5</v>
      </c>
      <c r="S138" s="2">
        <v>0</v>
      </c>
      <c r="T138" s="2">
        <v>0</v>
      </c>
      <c r="U138" s="127">
        <v>4</v>
      </c>
      <c r="V138" s="2">
        <v>0</v>
      </c>
      <c r="W138" s="2">
        <v>0</v>
      </c>
      <c r="X138" s="109">
        <v>1</v>
      </c>
    </row>
    <row r="139" spans="1:24" x14ac:dyDescent="0.25">
      <c r="B139">
        <v>20095509</v>
      </c>
      <c r="C139" s="103">
        <v>83818.2</v>
      </c>
      <c r="D139" s="108">
        <v>7686.2</v>
      </c>
      <c r="E139" s="99">
        <v>7.2566100000000003E-5</v>
      </c>
      <c r="F139" s="99">
        <v>3.8336900000000002E-5</v>
      </c>
      <c r="G139" s="132">
        <v>4.09473E-5</v>
      </c>
      <c r="H139" s="133">
        <v>1.93949E-5</v>
      </c>
      <c r="I139" s="99">
        <v>3.8373E-5</v>
      </c>
      <c r="J139" s="133">
        <v>1.7206300000000002E-5</v>
      </c>
      <c r="K139" s="99">
        <v>3.8373E-5</v>
      </c>
      <c r="L139" s="116">
        <v>1.38858E-5</v>
      </c>
      <c r="M139" s="2">
        <v>55</v>
      </c>
      <c r="N139" s="2">
        <v>4</v>
      </c>
      <c r="O139" s="2">
        <v>24</v>
      </c>
      <c r="P139" s="126">
        <v>0</v>
      </c>
      <c r="Q139" s="106">
        <v>0</v>
      </c>
      <c r="R139" s="127">
        <v>3</v>
      </c>
      <c r="S139" s="2">
        <v>0</v>
      </c>
      <c r="T139" s="2">
        <v>1</v>
      </c>
      <c r="U139" s="127">
        <v>1</v>
      </c>
      <c r="V139" s="2">
        <v>0</v>
      </c>
      <c r="W139" s="2">
        <v>0</v>
      </c>
      <c r="X139" s="109">
        <v>1</v>
      </c>
    </row>
    <row r="140" spans="1:24" x14ac:dyDescent="0.25">
      <c r="B140">
        <v>20095510</v>
      </c>
      <c r="C140" s="103">
        <v>1010.1</v>
      </c>
      <c r="D140" s="108">
        <v>998.6</v>
      </c>
      <c r="E140" s="99">
        <v>2.2913500000000002E-3</v>
      </c>
      <c r="F140" s="99">
        <v>2.09873E-3</v>
      </c>
      <c r="G140" s="132">
        <v>2.2913500000000002E-3</v>
      </c>
      <c r="H140" s="133">
        <v>2.0876900000000001E-3</v>
      </c>
      <c r="I140" s="99">
        <v>2.26895E-3</v>
      </c>
      <c r="J140" s="133">
        <v>2.0232100000000001E-3</v>
      </c>
      <c r="K140" s="99">
        <v>2.1971600000000001E-3</v>
      </c>
      <c r="L140" s="116">
        <v>1.9273700000000001E-3</v>
      </c>
      <c r="M140" s="2">
        <v>1</v>
      </c>
      <c r="N140" s="2">
        <v>25</v>
      </c>
      <c r="O140" s="2">
        <v>41</v>
      </c>
      <c r="P140" s="126">
        <v>1</v>
      </c>
      <c r="Q140" s="106">
        <v>21</v>
      </c>
      <c r="R140" s="127">
        <v>41</v>
      </c>
      <c r="S140" s="2">
        <v>1</v>
      </c>
      <c r="T140" s="2">
        <v>5</v>
      </c>
      <c r="U140" s="127">
        <v>36</v>
      </c>
      <c r="V140" s="2">
        <v>3</v>
      </c>
      <c r="W140" s="2">
        <v>0</v>
      </c>
      <c r="X140" s="109">
        <v>20</v>
      </c>
    </row>
    <row r="141" spans="1:24" x14ac:dyDescent="0.25">
      <c r="B141">
        <v>20096069</v>
      </c>
      <c r="C141" s="103">
        <v>2633.3</v>
      </c>
      <c r="D141" s="108">
        <v>2611.4</v>
      </c>
      <c r="E141" s="99">
        <v>9.8682899999999997E-5</v>
      </c>
      <c r="F141" s="99">
        <v>1.28832E-4</v>
      </c>
      <c r="G141" s="132">
        <v>9.0312500000000006E-5</v>
      </c>
      <c r="H141" s="133">
        <v>9.3958599999999999E-5</v>
      </c>
      <c r="I141" s="99">
        <v>5.9033500000000003E-5</v>
      </c>
      <c r="J141" s="133">
        <v>6.1972700000000004E-5</v>
      </c>
      <c r="K141" s="99">
        <v>4.0970999999999998E-5</v>
      </c>
      <c r="L141" s="116">
        <v>3.1985900000000002E-5</v>
      </c>
      <c r="M141" s="2">
        <v>0</v>
      </c>
      <c r="N141" s="2">
        <v>26</v>
      </c>
      <c r="O141" s="2">
        <v>32</v>
      </c>
      <c r="P141" s="126">
        <v>2</v>
      </c>
      <c r="Q141" s="106">
        <v>10</v>
      </c>
      <c r="R141" s="127">
        <v>26</v>
      </c>
      <c r="S141" s="2">
        <v>0</v>
      </c>
      <c r="T141" s="2">
        <v>4</v>
      </c>
      <c r="U141" s="127">
        <v>17</v>
      </c>
      <c r="V141" s="2">
        <v>1</v>
      </c>
      <c r="W141" s="2">
        <v>0</v>
      </c>
      <c r="X141" s="109">
        <v>6</v>
      </c>
    </row>
    <row r="142" spans="1:24" x14ac:dyDescent="0.25">
      <c r="B142">
        <v>20096074</v>
      </c>
      <c r="C142" s="103">
        <v>38518.1</v>
      </c>
      <c r="D142" s="108">
        <v>7600</v>
      </c>
      <c r="E142" s="99">
        <v>1.4434100000000001E-4</v>
      </c>
      <c r="F142" s="99">
        <v>1.6355699999999999E-4</v>
      </c>
      <c r="G142" s="132">
        <v>1.2956799999999999E-4</v>
      </c>
      <c r="H142" s="133">
        <v>1.4691899999999999E-4</v>
      </c>
      <c r="I142" s="99">
        <v>1.2956799999999999E-4</v>
      </c>
      <c r="J142" s="133">
        <v>1.4691899999999999E-4</v>
      </c>
      <c r="K142" s="99">
        <v>1.2956799999999999E-4</v>
      </c>
      <c r="L142" s="116">
        <v>1.4691899999999999E-4</v>
      </c>
      <c r="M142" s="2">
        <v>7</v>
      </c>
      <c r="N142" s="2">
        <v>5</v>
      </c>
      <c r="O142" s="2">
        <v>21</v>
      </c>
      <c r="P142" s="126">
        <v>0</v>
      </c>
      <c r="Q142" s="106">
        <v>0</v>
      </c>
      <c r="R142" s="127">
        <v>6</v>
      </c>
      <c r="S142" s="2">
        <v>0</v>
      </c>
      <c r="T142" s="2">
        <v>0</v>
      </c>
      <c r="U142" s="127">
        <v>6</v>
      </c>
      <c r="V142" s="2">
        <v>0</v>
      </c>
      <c r="W142" s="2">
        <v>0</v>
      </c>
      <c r="X142" s="109">
        <v>6</v>
      </c>
    </row>
    <row r="143" spans="1:24" x14ac:dyDescent="0.25">
      <c r="B143">
        <v>20097208</v>
      </c>
      <c r="C143" s="103">
        <v>62176.4</v>
      </c>
      <c r="D143" s="108">
        <v>7676.9</v>
      </c>
      <c r="E143" s="99">
        <v>9.5576100000000001E-5</v>
      </c>
      <c r="F143" s="99">
        <v>8.8855499999999997E-5</v>
      </c>
      <c r="G143" s="132">
        <v>6.6684000000000001E-5</v>
      </c>
      <c r="H143" s="133">
        <v>7.02684E-5</v>
      </c>
      <c r="I143" s="99">
        <v>4.5889600000000002E-5</v>
      </c>
      <c r="J143" s="133">
        <v>5.3116799999999999E-5</v>
      </c>
      <c r="K143" s="99">
        <v>1.51504E-5</v>
      </c>
      <c r="L143" s="116">
        <v>1.6244800000000001E-5</v>
      </c>
      <c r="M143" s="2">
        <v>22</v>
      </c>
      <c r="N143" s="2">
        <v>1</v>
      </c>
      <c r="O143" s="2">
        <v>38</v>
      </c>
      <c r="P143" s="126">
        <v>1</v>
      </c>
      <c r="Q143" s="106">
        <v>1</v>
      </c>
      <c r="R143" s="127">
        <v>18</v>
      </c>
      <c r="S143" s="2">
        <v>2</v>
      </c>
      <c r="T143" s="2">
        <v>3</v>
      </c>
      <c r="U143" s="127">
        <v>8</v>
      </c>
      <c r="V143" s="2">
        <v>0</v>
      </c>
      <c r="W143" s="2">
        <v>0</v>
      </c>
      <c r="X143" s="109">
        <v>2</v>
      </c>
    </row>
    <row r="144" spans="1:24" x14ac:dyDescent="0.25">
      <c r="B144">
        <v>20097214</v>
      </c>
      <c r="C144" s="103">
        <v>40982.1</v>
      </c>
      <c r="D144" s="108">
        <v>7622.3</v>
      </c>
      <c r="E144" s="99">
        <v>1.2400000000000001E-4</v>
      </c>
      <c r="F144" s="99">
        <v>1.3720599999999999E-4</v>
      </c>
      <c r="G144" s="132">
        <v>8.2360200000000005E-5</v>
      </c>
      <c r="H144" s="133">
        <v>1.02429E-4</v>
      </c>
      <c r="I144" s="99">
        <v>6.3833100000000004E-5</v>
      </c>
      <c r="J144" s="133">
        <v>8.4773799999999998E-5</v>
      </c>
      <c r="K144" s="99">
        <v>6.3833100000000004E-5</v>
      </c>
      <c r="L144" s="116">
        <v>8.4773799999999998E-5</v>
      </c>
      <c r="M144" s="2">
        <v>11</v>
      </c>
      <c r="N144" s="2">
        <v>2</v>
      </c>
      <c r="O144" s="2">
        <v>42</v>
      </c>
      <c r="P144" s="126">
        <v>4</v>
      </c>
      <c r="Q144" s="106">
        <v>4</v>
      </c>
      <c r="R144" s="127">
        <v>8</v>
      </c>
      <c r="S144" s="2">
        <v>0</v>
      </c>
      <c r="T144" s="2">
        <v>0</v>
      </c>
      <c r="U144" s="127">
        <v>4</v>
      </c>
      <c r="V144" s="2">
        <v>0</v>
      </c>
      <c r="W144" s="2">
        <v>0</v>
      </c>
      <c r="X144" s="109">
        <v>4</v>
      </c>
    </row>
    <row r="145" spans="2:24" x14ac:dyDescent="0.25">
      <c r="B145">
        <v>20097575</v>
      </c>
      <c r="C145" s="103">
        <v>12073.4</v>
      </c>
      <c r="D145" s="108">
        <v>4754.1000000000004</v>
      </c>
      <c r="E145" s="99">
        <v>2.0932399999999999E-4</v>
      </c>
      <c r="F145" s="99">
        <v>2.3376899999999999E-4</v>
      </c>
      <c r="G145" s="132">
        <v>1.2423999999999999E-4</v>
      </c>
      <c r="H145" s="133">
        <v>1.4311700000000001E-4</v>
      </c>
      <c r="I145" s="99">
        <v>7.1680400000000006E-5</v>
      </c>
      <c r="J145" s="133">
        <v>1.08466E-4</v>
      </c>
      <c r="K145" s="99">
        <v>2.03703E-5</v>
      </c>
      <c r="L145" s="116">
        <v>4.1361099999999999E-5</v>
      </c>
      <c r="M145" s="2">
        <v>18</v>
      </c>
      <c r="N145" s="2">
        <v>29</v>
      </c>
      <c r="O145" s="2">
        <v>104</v>
      </c>
      <c r="P145" s="126">
        <v>10</v>
      </c>
      <c r="Q145" s="106">
        <v>16</v>
      </c>
      <c r="R145" s="127">
        <v>51</v>
      </c>
      <c r="S145" s="2">
        <v>7</v>
      </c>
      <c r="T145" s="2">
        <v>21</v>
      </c>
      <c r="U145" s="127">
        <v>34</v>
      </c>
      <c r="V145" s="2">
        <v>1</v>
      </c>
      <c r="W145" s="2">
        <v>10</v>
      </c>
      <c r="X145" s="109">
        <v>28</v>
      </c>
    </row>
    <row r="146" spans="2:24" x14ac:dyDescent="0.25">
      <c r="B146">
        <v>20097608</v>
      </c>
      <c r="C146" s="103">
        <v>31637.9</v>
      </c>
      <c r="D146" s="108">
        <v>7568.2</v>
      </c>
      <c r="E146" s="99">
        <v>6.06853E-5</v>
      </c>
      <c r="F146" s="99">
        <v>5.07374E-5</v>
      </c>
      <c r="G146" s="132">
        <v>3.3349400000000003E-5</v>
      </c>
      <c r="H146" s="133">
        <v>2.1459900000000001E-5</v>
      </c>
      <c r="I146" s="99">
        <v>2.1084E-6</v>
      </c>
      <c r="J146" s="133">
        <v>1.32592E-5</v>
      </c>
      <c r="K146" s="100">
        <v>9.9999999999999995E-7</v>
      </c>
      <c r="L146" s="118">
        <v>9.9999999999999995E-7</v>
      </c>
      <c r="M146" s="2">
        <v>12</v>
      </c>
      <c r="N146" s="2">
        <v>3</v>
      </c>
      <c r="O146" s="2">
        <v>33</v>
      </c>
      <c r="P146" s="126">
        <v>4</v>
      </c>
      <c r="Q146" s="106">
        <v>1</v>
      </c>
      <c r="R146" s="127">
        <v>6</v>
      </c>
      <c r="S146" s="2">
        <v>0</v>
      </c>
      <c r="T146" s="2">
        <v>3</v>
      </c>
      <c r="U146" s="127">
        <v>1</v>
      </c>
      <c r="V146" s="2">
        <v>0</v>
      </c>
      <c r="W146" s="2">
        <v>0</v>
      </c>
      <c r="X146" s="109">
        <v>0</v>
      </c>
    </row>
    <row r="147" spans="2:24" x14ac:dyDescent="0.25">
      <c r="B147">
        <v>20097639</v>
      </c>
      <c r="C147" s="103">
        <v>54906.400000000001</v>
      </c>
      <c r="D147" s="108">
        <v>7669.1</v>
      </c>
      <c r="E147" s="99">
        <v>1.9322100000000001E-4</v>
      </c>
      <c r="F147" s="99">
        <v>2.23954E-4</v>
      </c>
      <c r="G147" s="132">
        <v>1.8163200000000001E-4</v>
      </c>
      <c r="H147" s="133">
        <v>2.17903E-4</v>
      </c>
      <c r="I147" s="99">
        <v>1.7895899999999999E-4</v>
      </c>
      <c r="J147" s="133">
        <v>2.13895E-4</v>
      </c>
      <c r="K147" s="99">
        <v>1.6983100000000001E-4</v>
      </c>
      <c r="L147" s="116">
        <v>2.0391100000000001E-4</v>
      </c>
      <c r="M147" s="2">
        <v>6</v>
      </c>
      <c r="N147" s="2">
        <v>2</v>
      </c>
      <c r="O147" s="2">
        <v>13</v>
      </c>
      <c r="P147" s="126">
        <v>0</v>
      </c>
      <c r="Q147" s="106">
        <v>1</v>
      </c>
      <c r="R147" s="127">
        <v>7</v>
      </c>
      <c r="S147" s="2">
        <v>0</v>
      </c>
      <c r="T147" s="2">
        <v>0</v>
      </c>
      <c r="U147" s="127">
        <v>6</v>
      </c>
      <c r="V147" s="2">
        <v>0</v>
      </c>
      <c r="W147" s="2">
        <v>0</v>
      </c>
      <c r="X147" s="109">
        <v>3</v>
      </c>
    </row>
    <row r="148" spans="2:24" x14ac:dyDescent="0.25">
      <c r="B148">
        <v>20097661</v>
      </c>
      <c r="C148" s="103">
        <v>6321.6</v>
      </c>
      <c r="D148" s="108">
        <v>4597.3999999999996</v>
      </c>
      <c r="E148" s="99">
        <v>7.8909899999999995E-5</v>
      </c>
      <c r="F148" s="99">
        <v>1.21753E-4</v>
      </c>
      <c r="G148" s="132">
        <v>2.98206E-5</v>
      </c>
      <c r="H148" s="133">
        <v>4.3906699999999998E-5</v>
      </c>
      <c r="I148" s="99">
        <v>2.28472E-5</v>
      </c>
      <c r="J148" s="133">
        <v>3.0280499999999999E-5</v>
      </c>
      <c r="K148" s="99">
        <v>1.2754E-5</v>
      </c>
      <c r="L148" s="116">
        <v>1.7158899999999999E-5</v>
      </c>
      <c r="M148" s="2">
        <v>1</v>
      </c>
      <c r="N148" s="2">
        <v>41</v>
      </c>
      <c r="O148" s="2">
        <v>39</v>
      </c>
      <c r="P148" s="126">
        <v>0</v>
      </c>
      <c r="Q148" s="106">
        <v>3</v>
      </c>
      <c r="R148" s="127">
        <v>11</v>
      </c>
      <c r="S148" s="2">
        <v>0</v>
      </c>
      <c r="T148" s="2">
        <v>1</v>
      </c>
      <c r="U148" s="127">
        <v>7</v>
      </c>
      <c r="V148" s="2">
        <v>0</v>
      </c>
      <c r="W148" s="2">
        <v>0</v>
      </c>
      <c r="X148" s="109">
        <v>3</v>
      </c>
    </row>
    <row r="149" spans="2:24" x14ac:dyDescent="0.25">
      <c r="B149">
        <v>20100450</v>
      </c>
      <c r="C149" s="103">
        <v>1698.5</v>
      </c>
      <c r="D149" s="108">
        <v>1687.7</v>
      </c>
      <c r="E149" s="99">
        <v>8.1416099999999999E-4</v>
      </c>
      <c r="F149" s="99">
        <v>7.5025999999999999E-4</v>
      </c>
      <c r="G149" s="132">
        <v>8.1142900000000001E-4</v>
      </c>
      <c r="H149" s="133">
        <v>7.3135699999999997E-4</v>
      </c>
      <c r="I149" s="99">
        <v>7.8035099999999998E-4</v>
      </c>
      <c r="J149" s="133">
        <v>6.9286499999999997E-4</v>
      </c>
      <c r="K149" s="99">
        <v>6.7345800000000004E-4</v>
      </c>
      <c r="L149" s="116">
        <v>5.8632300000000003E-4</v>
      </c>
      <c r="M149" s="2">
        <v>5</v>
      </c>
      <c r="N149" s="2">
        <v>16</v>
      </c>
      <c r="O149" s="2">
        <v>70</v>
      </c>
      <c r="P149" s="126">
        <v>5</v>
      </c>
      <c r="Q149" s="106">
        <v>7</v>
      </c>
      <c r="R149" s="127">
        <v>69</v>
      </c>
      <c r="S149" s="2">
        <v>5</v>
      </c>
      <c r="T149" s="2">
        <v>2</v>
      </c>
      <c r="U149" s="127">
        <v>59</v>
      </c>
      <c r="V149" s="2">
        <v>5</v>
      </c>
      <c r="W149" s="2">
        <v>2</v>
      </c>
      <c r="X149" s="109">
        <v>35</v>
      </c>
    </row>
    <row r="150" spans="2:24" x14ac:dyDescent="0.25">
      <c r="B150">
        <v>20101450</v>
      </c>
      <c r="C150" s="103">
        <v>20730.7</v>
      </c>
      <c r="D150" s="108">
        <v>6990</v>
      </c>
      <c r="E150" s="99">
        <v>1.9101700000000001E-3</v>
      </c>
      <c r="F150" s="99">
        <v>1.40223E-3</v>
      </c>
      <c r="G150" s="132">
        <v>1.8815500000000001E-3</v>
      </c>
      <c r="H150" s="133">
        <v>1.3712799999999999E-3</v>
      </c>
      <c r="I150" s="99">
        <v>1.8537600000000001E-3</v>
      </c>
      <c r="J150" s="133">
        <v>1.3649700000000001E-3</v>
      </c>
      <c r="K150" s="99">
        <v>1.8194299999999999E-3</v>
      </c>
      <c r="L150" s="116">
        <v>1.30182E-3</v>
      </c>
      <c r="M150" s="2">
        <v>48</v>
      </c>
      <c r="N150" s="2">
        <v>15</v>
      </c>
      <c r="O150" s="2">
        <v>73</v>
      </c>
      <c r="P150" s="126">
        <v>43</v>
      </c>
      <c r="Q150" s="106">
        <v>3</v>
      </c>
      <c r="R150" s="127">
        <v>53</v>
      </c>
      <c r="S150" s="2">
        <v>40</v>
      </c>
      <c r="T150" s="2">
        <v>9</v>
      </c>
      <c r="U150" s="127">
        <v>44</v>
      </c>
      <c r="V150" s="2">
        <v>37</v>
      </c>
      <c r="W150" s="2">
        <v>1</v>
      </c>
      <c r="X150" s="109">
        <v>36</v>
      </c>
    </row>
    <row r="151" spans="2:24" x14ac:dyDescent="0.25">
      <c r="B151">
        <v>20101466</v>
      </c>
      <c r="C151" s="103">
        <v>2395.4</v>
      </c>
      <c r="D151" s="108">
        <v>2381.4</v>
      </c>
      <c r="E151" s="99">
        <v>2.7501499999999998E-3</v>
      </c>
      <c r="F151" s="99">
        <v>2.5431899999999999E-3</v>
      </c>
      <c r="G151" s="132">
        <v>2.7373200000000001E-3</v>
      </c>
      <c r="H151" s="133">
        <v>2.5025099999999999E-3</v>
      </c>
      <c r="I151" s="99">
        <v>2.7111599999999998E-3</v>
      </c>
      <c r="J151" s="133">
        <v>2.4764499999999998E-3</v>
      </c>
      <c r="K151" s="99">
        <v>2.63101E-3</v>
      </c>
      <c r="L151" s="116">
        <v>2.3965499999999999E-3</v>
      </c>
      <c r="M151" s="2">
        <v>8</v>
      </c>
      <c r="N151" s="2">
        <v>25</v>
      </c>
      <c r="O151" s="2">
        <v>122</v>
      </c>
      <c r="P151" s="126">
        <v>9</v>
      </c>
      <c r="Q151" s="106">
        <v>6</v>
      </c>
      <c r="R151" s="127">
        <v>116</v>
      </c>
      <c r="S151" s="2">
        <v>8</v>
      </c>
      <c r="T151" s="2">
        <v>2</v>
      </c>
      <c r="U151" s="127">
        <v>110</v>
      </c>
      <c r="V151" s="2">
        <v>8</v>
      </c>
      <c r="W151" s="2">
        <v>2</v>
      </c>
      <c r="X151" s="109">
        <v>98</v>
      </c>
    </row>
    <row r="152" spans="2:24" x14ac:dyDescent="0.25">
      <c r="B152">
        <v>20101910</v>
      </c>
      <c r="C152" s="103">
        <v>1328.2</v>
      </c>
      <c r="D152" s="108">
        <v>1318.8</v>
      </c>
      <c r="E152" s="99">
        <v>7.0135400000000004E-3</v>
      </c>
      <c r="F152" s="99">
        <v>5.1059499999999997E-3</v>
      </c>
      <c r="G152" s="132">
        <v>7.0135400000000004E-3</v>
      </c>
      <c r="H152" s="133">
        <v>5.0883600000000001E-3</v>
      </c>
      <c r="I152" s="99">
        <v>6.9951900000000001E-3</v>
      </c>
      <c r="J152" s="133">
        <v>5.0452600000000002E-3</v>
      </c>
      <c r="K152" s="99">
        <v>6.9283799999999996E-3</v>
      </c>
      <c r="L152" s="116">
        <v>4.9709300000000001E-3</v>
      </c>
      <c r="M152" s="2">
        <v>12</v>
      </c>
      <c r="N152" s="2">
        <v>23</v>
      </c>
      <c r="O152" s="2">
        <v>129</v>
      </c>
      <c r="P152" s="126">
        <v>13</v>
      </c>
      <c r="Q152" s="106">
        <v>15</v>
      </c>
      <c r="R152" s="127">
        <v>128</v>
      </c>
      <c r="S152" s="2">
        <v>16</v>
      </c>
      <c r="T152" s="2">
        <v>9</v>
      </c>
      <c r="U152" s="127">
        <v>120</v>
      </c>
      <c r="V152" s="2">
        <v>13</v>
      </c>
      <c r="W152" s="2">
        <v>1</v>
      </c>
      <c r="X152" s="109">
        <v>113</v>
      </c>
    </row>
    <row r="153" spans="2:24" x14ac:dyDescent="0.25">
      <c r="B153">
        <v>20102111</v>
      </c>
      <c r="C153" s="103">
        <v>968.8</v>
      </c>
      <c r="D153" s="108">
        <v>957.8</v>
      </c>
      <c r="E153" s="99">
        <v>1.5249199999999999E-3</v>
      </c>
      <c r="F153" s="99">
        <v>1.54736E-3</v>
      </c>
      <c r="G153" s="132">
        <v>1.5249199999999999E-3</v>
      </c>
      <c r="H153" s="133">
        <v>1.53404E-3</v>
      </c>
      <c r="I153" s="99">
        <v>1.52013E-3</v>
      </c>
      <c r="J153" s="133">
        <v>1.5158700000000001E-3</v>
      </c>
      <c r="K153" s="99">
        <v>1.4237399999999999E-3</v>
      </c>
      <c r="L153" s="116">
        <v>1.4226099999999999E-3</v>
      </c>
      <c r="M153" s="2">
        <v>0</v>
      </c>
      <c r="N153" s="2">
        <v>13</v>
      </c>
      <c r="O153" s="2">
        <v>96</v>
      </c>
      <c r="P153" s="126">
        <v>0</v>
      </c>
      <c r="Q153" s="106">
        <v>7</v>
      </c>
      <c r="R153" s="127">
        <v>96</v>
      </c>
      <c r="S153" s="2">
        <v>1</v>
      </c>
      <c r="T153" s="2">
        <v>4</v>
      </c>
      <c r="U153" s="127">
        <v>94</v>
      </c>
      <c r="V153" s="2">
        <v>0</v>
      </c>
      <c r="W153" s="2">
        <v>0</v>
      </c>
      <c r="X153" s="109">
        <v>81</v>
      </c>
    </row>
    <row r="154" spans="2:24" x14ac:dyDescent="0.25">
      <c r="B154">
        <v>20102207</v>
      </c>
      <c r="C154" s="103">
        <v>5916.7</v>
      </c>
      <c r="D154" s="108">
        <v>5328.2</v>
      </c>
      <c r="E154" s="99">
        <v>4.14693E-5</v>
      </c>
      <c r="F154" s="99">
        <v>7.4136500000000004E-5</v>
      </c>
      <c r="G154" s="132">
        <v>2.4214900000000001E-5</v>
      </c>
      <c r="H154" s="133">
        <v>3.21149E-5</v>
      </c>
      <c r="I154" s="99">
        <v>2.0685600000000001E-5</v>
      </c>
      <c r="J154" s="133">
        <v>2.87402E-5</v>
      </c>
      <c r="K154" s="100">
        <v>9.9999999999999995E-7</v>
      </c>
      <c r="L154" s="118">
        <v>9.9999999999999995E-7</v>
      </c>
      <c r="M154" s="2">
        <v>1</v>
      </c>
      <c r="N154" s="2">
        <v>34</v>
      </c>
      <c r="O154" s="2">
        <v>19</v>
      </c>
      <c r="P154" s="126">
        <v>0</v>
      </c>
      <c r="Q154" s="106">
        <v>1</v>
      </c>
      <c r="R154" s="127">
        <v>8</v>
      </c>
      <c r="S154" s="2">
        <v>0</v>
      </c>
      <c r="T154" s="2">
        <v>1</v>
      </c>
      <c r="U154" s="127">
        <v>6</v>
      </c>
      <c r="V154" s="2">
        <v>0</v>
      </c>
      <c r="W154" s="2">
        <v>0</v>
      </c>
      <c r="X154" s="109">
        <v>0</v>
      </c>
    </row>
    <row r="155" spans="2:24" x14ac:dyDescent="0.25">
      <c r="B155">
        <v>20102236</v>
      </c>
      <c r="C155" s="103">
        <v>1413.1</v>
      </c>
      <c r="D155" s="108">
        <v>1402.1</v>
      </c>
      <c r="E155" s="99">
        <v>5.3320500000000003E-4</v>
      </c>
      <c r="F155" s="99">
        <v>5.8496500000000001E-4</v>
      </c>
      <c r="G155" s="132">
        <v>5.3320500000000003E-4</v>
      </c>
      <c r="H155" s="133">
        <v>5.4607799999999997E-4</v>
      </c>
      <c r="I155" s="99">
        <v>4.7738000000000001E-4</v>
      </c>
      <c r="J155" s="133">
        <v>4.8360999999999999E-4</v>
      </c>
      <c r="K155" s="99">
        <v>3.7927700000000002E-4</v>
      </c>
      <c r="L155" s="116">
        <v>3.8059999999999998E-4</v>
      </c>
      <c r="M155" s="2">
        <v>0</v>
      </c>
      <c r="N155" s="2">
        <v>29</v>
      </c>
      <c r="O155" s="2">
        <v>56</v>
      </c>
      <c r="P155" s="126">
        <v>1</v>
      </c>
      <c r="Q155" s="106">
        <v>10</v>
      </c>
      <c r="R155" s="127">
        <v>55</v>
      </c>
      <c r="S155" s="2">
        <v>0</v>
      </c>
      <c r="T155" s="2">
        <v>4</v>
      </c>
      <c r="U155" s="127">
        <v>42</v>
      </c>
      <c r="V155" s="2">
        <v>0</v>
      </c>
      <c r="W155" s="2">
        <v>0</v>
      </c>
      <c r="X155" s="109">
        <v>21</v>
      </c>
    </row>
    <row r="156" spans="2:24" x14ac:dyDescent="0.25">
      <c r="B156">
        <v>20102251</v>
      </c>
      <c r="C156" s="103">
        <v>3974.3</v>
      </c>
      <c r="D156" s="108">
        <v>3792</v>
      </c>
      <c r="E156" s="99">
        <v>1.03952E-2</v>
      </c>
      <c r="F156" s="99">
        <v>5.6730799999999996E-3</v>
      </c>
      <c r="G156" s="132">
        <v>1.03847E-2</v>
      </c>
      <c r="H156" s="133">
        <v>5.6515100000000002E-3</v>
      </c>
      <c r="I156" s="99">
        <v>1.03847E-2</v>
      </c>
      <c r="J156" s="133">
        <v>5.6483000000000002E-3</v>
      </c>
      <c r="K156" s="99">
        <v>1.03581E-2</v>
      </c>
      <c r="L156" s="116">
        <v>5.61372E-3</v>
      </c>
      <c r="M156" s="2">
        <v>30</v>
      </c>
      <c r="N156" s="2">
        <v>18</v>
      </c>
      <c r="O156" s="2">
        <v>96</v>
      </c>
      <c r="P156" s="126">
        <v>30</v>
      </c>
      <c r="Q156" s="106">
        <v>4</v>
      </c>
      <c r="R156" s="127">
        <v>91</v>
      </c>
      <c r="S156" s="2">
        <v>31</v>
      </c>
      <c r="T156" s="2">
        <v>1</v>
      </c>
      <c r="U156" s="127">
        <v>90</v>
      </c>
      <c r="V156" s="2">
        <v>31</v>
      </c>
      <c r="W156" s="2">
        <v>0</v>
      </c>
      <c r="X156" s="109">
        <v>85</v>
      </c>
    </row>
    <row r="157" spans="2:24" x14ac:dyDescent="0.25">
      <c r="B157">
        <v>20102362</v>
      </c>
      <c r="C157" s="103">
        <v>4790.6000000000004</v>
      </c>
      <c r="D157" s="108">
        <v>4423.6000000000004</v>
      </c>
      <c r="E157" s="99">
        <v>1.93124E-4</v>
      </c>
      <c r="F157" s="99">
        <v>2.35107E-4</v>
      </c>
      <c r="G157" s="132">
        <v>1.6939200000000001E-4</v>
      </c>
      <c r="H157" s="133">
        <v>1.8108299999999999E-4</v>
      </c>
      <c r="I157" s="99">
        <v>1.50624E-4</v>
      </c>
      <c r="J157" s="133">
        <v>1.6036499999999999E-4</v>
      </c>
      <c r="K157" s="99">
        <v>5.9329600000000002E-5</v>
      </c>
      <c r="L157" s="116">
        <v>6.3333199999999999E-5</v>
      </c>
      <c r="M157" s="2">
        <v>0</v>
      </c>
      <c r="N157" s="2">
        <v>46</v>
      </c>
      <c r="O157" s="2">
        <v>56</v>
      </c>
      <c r="P157" s="126">
        <v>0</v>
      </c>
      <c r="Q157" s="106">
        <v>7</v>
      </c>
      <c r="R157" s="127">
        <v>42</v>
      </c>
      <c r="S157" s="2">
        <v>0</v>
      </c>
      <c r="T157" s="2">
        <v>4</v>
      </c>
      <c r="U157" s="127">
        <v>34</v>
      </c>
      <c r="V157" s="2">
        <v>0</v>
      </c>
      <c r="W157" s="2">
        <v>0</v>
      </c>
      <c r="X157" s="109">
        <v>11</v>
      </c>
    </row>
    <row r="158" spans="2:24" x14ac:dyDescent="0.25">
      <c r="B158">
        <v>20110104</v>
      </c>
      <c r="C158" s="103">
        <v>1516.3</v>
      </c>
      <c r="D158" s="108">
        <v>1499.9</v>
      </c>
      <c r="E158" s="99">
        <v>4.7279000000000002E-3</v>
      </c>
      <c r="F158" s="99">
        <v>4.21617E-3</v>
      </c>
      <c r="G158" s="132">
        <v>4.7210200000000003E-3</v>
      </c>
      <c r="H158" s="133">
        <v>4.1662799999999996E-3</v>
      </c>
      <c r="I158" s="99">
        <v>4.6904099999999999E-3</v>
      </c>
      <c r="J158" s="133">
        <v>4.1252800000000003E-3</v>
      </c>
      <c r="K158" s="99">
        <v>4.5928599999999998E-3</v>
      </c>
      <c r="L158" s="116">
        <v>4.0080999999999997E-3</v>
      </c>
      <c r="M158" s="2">
        <v>2</v>
      </c>
      <c r="N158" s="2">
        <v>36</v>
      </c>
      <c r="O158" s="2">
        <v>109</v>
      </c>
      <c r="P158" s="126">
        <v>2</v>
      </c>
      <c r="Q158" s="106">
        <v>14</v>
      </c>
      <c r="R158" s="127">
        <v>107</v>
      </c>
      <c r="S158" s="2">
        <v>2</v>
      </c>
      <c r="T158" s="2">
        <v>8</v>
      </c>
      <c r="U158" s="127">
        <v>98</v>
      </c>
      <c r="V158" s="2">
        <v>3</v>
      </c>
      <c r="W158" s="2">
        <v>3</v>
      </c>
      <c r="X158" s="109">
        <v>79</v>
      </c>
    </row>
    <row r="159" spans="2:24" x14ac:dyDescent="0.25">
      <c r="B159">
        <v>20110187</v>
      </c>
      <c r="C159" s="103">
        <v>4032.5</v>
      </c>
      <c r="D159" s="108">
        <v>3687.1</v>
      </c>
      <c r="E159" s="99">
        <v>4.5699299999999999E-4</v>
      </c>
      <c r="F159" s="99">
        <v>4.8941100000000003E-4</v>
      </c>
      <c r="G159" s="132">
        <v>3.9585899999999998E-4</v>
      </c>
      <c r="H159" s="133">
        <v>4.0949399999999999E-4</v>
      </c>
      <c r="I159" s="99">
        <v>3.2954700000000002E-4</v>
      </c>
      <c r="J159" s="133">
        <v>3.4121899999999997E-4</v>
      </c>
      <c r="K159" s="99">
        <v>2.7589299999999998E-4</v>
      </c>
      <c r="L159" s="116">
        <v>2.8788899999999999E-4</v>
      </c>
      <c r="M159" s="2">
        <v>4</v>
      </c>
      <c r="N159" s="2">
        <v>33</v>
      </c>
      <c r="O159" s="2">
        <v>112</v>
      </c>
      <c r="P159" s="126">
        <v>1</v>
      </c>
      <c r="Q159" s="106">
        <v>6</v>
      </c>
      <c r="R159" s="127">
        <v>86</v>
      </c>
      <c r="S159" s="2">
        <v>1</v>
      </c>
      <c r="T159" s="2">
        <v>6</v>
      </c>
      <c r="U159" s="127">
        <v>65</v>
      </c>
      <c r="V159" s="2">
        <v>1</v>
      </c>
      <c r="W159" s="2">
        <v>7</v>
      </c>
      <c r="X159" s="109">
        <v>51</v>
      </c>
    </row>
    <row r="160" spans="2:24" x14ac:dyDescent="0.25">
      <c r="B160">
        <v>20110299</v>
      </c>
      <c r="C160" s="103">
        <v>5092.1000000000004</v>
      </c>
      <c r="D160" s="108">
        <v>4351.2</v>
      </c>
      <c r="E160" s="99">
        <v>1.9843199999999999E-4</v>
      </c>
      <c r="F160" s="99">
        <v>2.5594700000000002E-4</v>
      </c>
      <c r="G160" s="132">
        <v>1.6368900000000001E-4</v>
      </c>
      <c r="H160" s="133">
        <v>2.0089199999999999E-4</v>
      </c>
      <c r="I160" s="99">
        <v>1.45122E-4</v>
      </c>
      <c r="J160" s="133">
        <v>1.7956299999999999E-4</v>
      </c>
      <c r="K160" s="99">
        <v>9.1811700000000001E-5</v>
      </c>
      <c r="L160" s="116">
        <v>1.21308E-4</v>
      </c>
      <c r="M160" s="2">
        <v>1</v>
      </c>
      <c r="N160" s="2">
        <v>31</v>
      </c>
      <c r="O160" s="2">
        <v>73</v>
      </c>
      <c r="P160" s="126">
        <v>0</v>
      </c>
      <c r="Q160" s="106">
        <v>5</v>
      </c>
      <c r="R160" s="127">
        <v>54</v>
      </c>
      <c r="S160" s="2">
        <v>0</v>
      </c>
      <c r="T160" s="2">
        <v>2</v>
      </c>
      <c r="U160" s="127">
        <v>46</v>
      </c>
      <c r="V160" s="2">
        <v>0</v>
      </c>
      <c r="W160" s="2">
        <v>1</v>
      </c>
      <c r="X160" s="109">
        <v>32</v>
      </c>
    </row>
    <row r="161" spans="1:24" x14ac:dyDescent="0.25">
      <c r="B161">
        <v>20110402</v>
      </c>
      <c r="C161" s="103">
        <v>1472.8</v>
      </c>
      <c r="D161" s="108">
        <v>1449.7</v>
      </c>
      <c r="E161" s="99">
        <v>5.9310400000000001E-4</v>
      </c>
      <c r="F161" s="99">
        <v>6.2577200000000003E-4</v>
      </c>
      <c r="G161" s="132">
        <v>5.9310400000000001E-4</v>
      </c>
      <c r="H161" s="133">
        <v>6.0816699999999995E-4</v>
      </c>
      <c r="I161" s="99">
        <v>5.3993800000000001E-4</v>
      </c>
      <c r="J161" s="133">
        <v>5.3814800000000001E-4</v>
      </c>
      <c r="K161" s="99">
        <v>3.6429099999999999E-4</v>
      </c>
      <c r="L161" s="116">
        <v>3.5889800000000002E-4</v>
      </c>
      <c r="M161" s="2">
        <v>1</v>
      </c>
      <c r="N161" s="2">
        <v>22</v>
      </c>
      <c r="O161" s="2">
        <v>76</v>
      </c>
      <c r="P161" s="126">
        <v>1</v>
      </c>
      <c r="Q161" s="106">
        <v>13</v>
      </c>
      <c r="R161" s="127">
        <v>76</v>
      </c>
      <c r="S161" s="2">
        <v>1</v>
      </c>
      <c r="T161" s="2">
        <v>3</v>
      </c>
      <c r="U161" s="127">
        <v>60</v>
      </c>
      <c r="V161" s="2">
        <v>1</v>
      </c>
      <c r="W161" s="2">
        <v>1</v>
      </c>
      <c r="X161" s="109">
        <v>31</v>
      </c>
    </row>
    <row r="162" spans="1:24" x14ac:dyDescent="0.25">
      <c r="B162">
        <v>20110602</v>
      </c>
      <c r="C162" s="103">
        <v>12448.1</v>
      </c>
      <c r="D162" s="108">
        <v>5268.7</v>
      </c>
      <c r="E162" s="99">
        <v>5.4085199999999998E-4</v>
      </c>
      <c r="F162" s="99">
        <v>8.5719099999999999E-4</v>
      </c>
      <c r="G162" s="132">
        <v>4.6410700000000001E-4</v>
      </c>
      <c r="H162" s="133">
        <v>7.6669300000000004E-4</v>
      </c>
      <c r="I162" s="99">
        <v>4.3642799999999999E-4</v>
      </c>
      <c r="J162" s="133">
        <v>7.3983100000000004E-4</v>
      </c>
      <c r="K162" s="99">
        <v>3.4616999999999997E-4</v>
      </c>
      <c r="L162" s="116">
        <v>6.6903999999999998E-4</v>
      </c>
      <c r="M162" s="2">
        <v>22</v>
      </c>
      <c r="N162" s="2">
        <v>38</v>
      </c>
      <c r="O162" s="2">
        <v>124</v>
      </c>
      <c r="P162" s="126">
        <v>13</v>
      </c>
      <c r="Q162" s="106">
        <v>5</v>
      </c>
      <c r="R162" s="127">
        <v>73</v>
      </c>
      <c r="S162" s="2">
        <v>11</v>
      </c>
      <c r="T162" s="2">
        <v>1</v>
      </c>
      <c r="U162" s="127">
        <v>67</v>
      </c>
      <c r="V162" s="2">
        <v>7</v>
      </c>
      <c r="W162" s="2">
        <v>0</v>
      </c>
      <c r="X162" s="109">
        <v>54</v>
      </c>
    </row>
    <row r="163" spans="1:24" x14ac:dyDescent="0.25">
      <c r="B163">
        <v>20110619</v>
      </c>
      <c r="C163" s="103">
        <v>2624.1</v>
      </c>
      <c r="D163" s="108">
        <v>2595.6999999999998</v>
      </c>
      <c r="E163" s="99">
        <v>2.1255800000000002E-3</v>
      </c>
      <c r="F163" s="99">
        <v>1.88649E-3</v>
      </c>
      <c r="G163" s="132">
        <v>2.1176200000000002E-3</v>
      </c>
      <c r="H163" s="133">
        <v>1.8561000000000001E-3</v>
      </c>
      <c r="I163" s="99">
        <v>2.1074499999999999E-3</v>
      </c>
      <c r="J163" s="133">
        <v>1.83979E-3</v>
      </c>
      <c r="K163" s="99">
        <v>2.0117400000000001E-3</v>
      </c>
      <c r="L163" s="116">
        <v>1.7497299999999999E-3</v>
      </c>
      <c r="M163" s="2">
        <v>5</v>
      </c>
      <c r="N163" s="2">
        <v>30</v>
      </c>
      <c r="O163" s="2">
        <v>130</v>
      </c>
      <c r="P163" s="126">
        <v>5</v>
      </c>
      <c r="Q163" s="106">
        <v>11</v>
      </c>
      <c r="R163" s="127">
        <v>127</v>
      </c>
      <c r="S163" s="2">
        <v>5</v>
      </c>
      <c r="T163" s="2">
        <v>4</v>
      </c>
      <c r="U163" s="127">
        <v>124</v>
      </c>
      <c r="V163" s="2">
        <v>6</v>
      </c>
      <c r="W163" s="2">
        <v>3</v>
      </c>
      <c r="X163" s="109">
        <v>105</v>
      </c>
    </row>
    <row r="164" spans="1:24" x14ac:dyDescent="0.25">
      <c r="B164">
        <v>20110891</v>
      </c>
      <c r="C164" s="103">
        <v>31282.400000000001</v>
      </c>
      <c r="D164" s="108">
        <v>7430.4</v>
      </c>
      <c r="E164" s="99">
        <v>2.50802E-4</v>
      </c>
      <c r="F164" s="99">
        <v>2.3083399999999999E-4</v>
      </c>
      <c r="G164" s="132">
        <v>1.6895699999999999E-4</v>
      </c>
      <c r="H164" s="133">
        <v>1.5386299999999999E-4</v>
      </c>
      <c r="I164" s="99">
        <v>1.40142E-4</v>
      </c>
      <c r="J164" s="133">
        <v>1.11943E-4</v>
      </c>
      <c r="K164" s="99">
        <v>9.0115299999999994E-5</v>
      </c>
      <c r="L164" s="116">
        <v>6.5026799999999999E-5</v>
      </c>
      <c r="M164" s="2">
        <v>42</v>
      </c>
      <c r="N164" s="2">
        <v>20</v>
      </c>
      <c r="O164" s="2">
        <v>105</v>
      </c>
      <c r="P164" s="126">
        <v>13</v>
      </c>
      <c r="Q164" s="106">
        <v>18</v>
      </c>
      <c r="R164" s="127">
        <v>21</v>
      </c>
      <c r="S164" s="2">
        <v>11</v>
      </c>
      <c r="T164" s="2">
        <v>9</v>
      </c>
      <c r="U164" s="127">
        <v>10</v>
      </c>
      <c r="V164" s="2">
        <v>4</v>
      </c>
      <c r="W164" s="2">
        <v>1</v>
      </c>
      <c r="X164" s="109">
        <v>6</v>
      </c>
    </row>
    <row r="165" spans="1:24" x14ac:dyDescent="0.25">
      <c r="B165">
        <v>20111053</v>
      </c>
      <c r="C165" s="103">
        <v>8268</v>
      </c>
      <c r="D165" s="108">
        <v>6610.7</v>
      </c>
      <c r="E165" s="99">
        <v>9.0219700000000006E-5</v>
      </c>
      <c r="F165" s="99">
        <v>1.06784E-4</v>
      </c>
      <c r="G165" s="132">
        <v>5.6685499999999998E-5</v>
      </c>
      <c r="H165" s="133">
        <v>6.5281499999999995E-5</v>
      </c>
      <c r="I165" s="99">
        <v>5.19149E-5</v>
      </c>
      <c r="J165" s="133">
        <v>5.7911000000000002E-5</v>
      </c>
      <c r="K165" s="99">
        <v>1.32594E-5</v>
      </c>
      <c r="L165" s="116">
        <v>1.5442900000000001E-5</v>
      </c>
      <c r="M165" s="2">
        <v>3</v>
      </c>
      <c r="N165" s="2">
        <v>25</v>
      </c>
      <c r="O165" s="2">
        <v>35</v>
      </c>
      <c r="P165" s="126">
        <v>1</v>
      </c>
      <c r="Q165" s="106">
        <v>5</v>
      </c>
      <c r="R165" s="127">
        <v>10</v>
      </c>
      <c r="S165" s="2">
        <v>0</v>
      </c>
      <c r="T165" s="2">
        <v>2</v>
      </c>
      <c r="U165" s="127">
        <v>9</v>
      </c>
      <c r="V165" s="2">
        <v>0</v>
      </c>
      <c r="W165" s="2">
        <v>0</v>
      </c>
      <c r="X165" s="109">
        <v>2</v>
      </c>
    </row>
    <row r="166" spans="1:24" x14ac:dyDescent="0.25">
      <c r="B166">
        <v>20111249</v>
      </c>
      <c r="C166" s="103">
        <v>45792.9</v>
      </c>
      <c r="D166" s="108">
        <v>7607.1</v>
      </c>
      <c r="E166" s="99">
        <v>7.6253800000000005E-5</v>
      </c>
      <c r="F166" s="99">
        <v>6.0847999999999997E-5</v>
      </c>
      <c r="G166" s="132">
        <v>6.1839000000000002E-5</v>
      </c>
      <c r="H166" s="133">
        <v>5.0325399999999998E-5</v>
      </c>
      <c r="I166" s="99">
        <v>6.1839000000000002E-5</v>
      </c>
      <c r="J166" s="133">
        <v>4.5674099999999997E-5</v>
      </c>
      <c r="K166" s="99">
        <v>6.1839000000000002E-5</v>
      </c>
      <c r="L166" s="116">
        <v>4.5674099999999997E-5</v>
      </c>
      <c r="M166" s="2">
        <v>7</v>
      </c>
      <c r="N166" s="2">
        <v>1</v>
      </c>
      <c r="O166" s="2">
        <v>16</v>
      </c>
      <c r="P166" s="126">
        <v>0</v>
      </c>
      <c r="Q166" s="106">
        <v>3</v>
      </c>
      <c r="R166" s="127">
        <v>3</v>
      </c>
      <c r="S166" s="2">
        <v>0</v>
      </c>
      <c r="T166" s="2">
        <v>0</v>
      </c>
      <c r="U166" s="127">
        <v>3</v>
      </c>
      <c r="V166" s="2">
        <v>0</v>
      </c>
      <c r="W166" s="2">
        <v>0</v>
      </c>
      <c r="X166" s="109">
        <v>3</v>
      </c>
    </row>
    <row r="167" spans="1:24" x14ac:dyDescent="0.25">
      <c r="B167">
        <v>20111347</v>
      </c>
      <c r="C167" s="103">
        <v>27064.7</v>
      </c>
      <c r="D167" s="108">
        <v>7529.3</v>
      </c>
      <c r="E167" s="99">
        <v>8.6563299999999998E-5</v>
      </c>
      <c r="F167" s="99">
        <v>8.7362100000000002E-5</v>
      </c>
      <c r="G167" s="132">
        <v>2.9425899999999999E-5</v>
      </c>
      <c r="H167" s="133">
        <v>3.0430399999999999E-5</v>
      </c>
      <c r="I167" s="99">
        <v>1.01587E-5</v>
      </c>
      <c r="J167" s="133">
        <v>6.8564600000000001E-6</v>
      </c>
      <c r="K167" s="100">
        <v>9.9999999999999995E-7</v>
      </c>
      <c r="L167" s="118">
        <v>9.9999999999999995E-7</v>
      </c>
      <c r="M167" s="2">
        <v>8</v>
      </c>
      <c r="N167" s="2">
        <v>7</v>
      </c>
      <c r="O167" s="2">
        <v>70</v>
      </c>
      <c r="P167" s="126">
        <v>2</v>
      </c>
      <c r="Q167" s="106">
        <v>1</v>
      </c>
      <c r="R167" s="127">
        <v>11</v>
      </c>
      <c r="S167" s="2">
        <v>2</v>
      </c>
      <c r="T167" s="2">
        <v>1</v>
      </c>
      <c r="U167" s="127">
        <v>1</v>
      </c>
      <c r="V167" s="2">
        <v>0</v>
      </c>
      <c r="W167" s="2">
        <v>0</v>
      </c>
      <c r="X167" s="109">
        <v>0</v>
      </c>
    </row>
    <row r="168" spans="1:24" x14ac:dyDescent="0.25">
      <c r="B168">
        <v>20120568</v>
      </c>
      <c r="C168" s="103">
        <v>35946</v>
      </c>
      <c r="D168" s="108">
        <v>7302.7</v>
      </c>
      <c r="E168" s="99">
        <v>2.1316500000000002E-5</v>
      </c>
      <c r="F168" s="99">
        <v>1.5409299999999998E-5</v>
      </c>
      <c r="G168" s="132">
        <v>2.01708E-6</v>
      </c>
      <c r="H168" s="133">
        <v>6.91034E-6</v>
      </c>
      <c r="I168" s="101">
        <v>2.01708E-6</v>
      </c>
      <c r="J168" s="133">
        <v>4.7657500000000001E-6</v>
      </c>
      <c r="K168" s="100">
        <v>9.9999999999999995E-7</v>
      </c>
      <c r="L168" s="118">
        <v>9.9999999999999995E-7</v>
      </c>
      <c r="M168" s="2">
        <v>18</v>
      </c>
      <c r="N168" s="2">
        <v>5</v>
      </c>
      <c r="O168" s="2">
        <v>8</v>
      </c>
      <c r="P168" s="126">
        <v>0</v>
      </c>
      <c r="Q168" s="106">
        <v>1</v>
      </c>
      <c r="R168" s="127">
        <v>1</v>
      </c>
      <c r="S168" s="2">
        <v>0</v>
      </c>
      <c r="T168" s="2">
        <v>0</v>
      </c>
      <c r="U168" s="127">
        <v>1</v>
      </c>
      <c r="V168" s="2">
        <v>0</v>
      </c>
      <c r="W168" s="2">
        <v>0</v>
      </c>
      <c r="X168" s="109">
        <v>0</v>
      </c>
    </row>
    <row r="169" spans="1:24" x14ac:dyDescent="0.25">
      <c r="B169">
        <v>20121119</v>
      </c>
      <c r="C169" s="103">
        <v>1262</v>
      </c>
      <c r="D169" s="108">
        <v>1250.9000000000001</v>
      </c>
      <c r="E169" s="99">
        <v>2.85235E-3</v>
      </c>
      <c r="F169" s="99">
        <v>2.6751700000000002E-3</v>
      </c>
      <c r="G169" s="132">
        <v>2.8495899999999999E-3</v>
      </c>
      <c r="H169" s="133">
        <v>2.6501300000000001E-3</v>
      </c>
      <c r="I169" s="99">
        <v>2.8353499999999999E-3</v>
      </c>
      <c r="J169" s="133">
        <v>2.6125699999999998E-3</v>
      </c>
      <c r="K169" s="99">
        <v>2.69425E-3</v>
      </c>
      <c r="L169" s="116">
        <v>2.4525900000000002E-3</v>
      </c>
      <c r="M169" s="2">
        <v>5</v>
      </c>
      <c r="N169" s="2">
        <v>37</v>
      </c>
      <c r="O169" s="2">
        <v>120</v>
      </c>
      <c r="P169" s="126">
        <v>5</v>
      </c>
      <c r="Q169" s="106">
        <v>26</v>
      </c>
      <c r="R169" s="127">
        <v>119</v>
      </c>
      <c r="S169" s="2">
        <v>5</v>
      </c>
      <c r="T169" s="2">
        <v>13</v>
      </c>
      <c r="U169" s="127">
        <v>115</v>
      </c>
      <c r="V169" s="2">
        <v>5</v>
      </c>
      <c r="W169" s="2">
        <v>0</v>
      </c>
      <c r="X169" s="109">
        <v>87</v>
      </c>
    </row>
    <row r="170" spans="1:24" x14ac:dyDescent="0.25">
      <c r="B170">
        <v>20121257</v>
      </c>
      <c r="C170" s="103">
        <v>2032</v>
      </c>
      <c r="D170" s="108">
        <v>2012.7</v>
      </c>
      <c r="E170" s="99">
        <v>1.69501E-3</v>
      </c>
      <c r="F170" s="99">
        <v>1.5646099999999999E-3</v>
      </c>
      <c r="G170" s="132">
        <v>1.6701699999999999E-3</v>
      </c>
      <c r="H170" s="133">
        <v>1.52484E-3</v>
      </c>
      <c r="I170" s="99">
        <v>1.6105200000000001E-3</v>
      </c>
      <c r="J170" s="133">
        <v>1.4622999999999999E-3</v>
      </c>
      <c r="K170" s="99">
        <v>1.5040400000000001E-3</v>
      </c>
      <c r="L170" s="116">
        <v>1.38795E-3</v>
      </c>
      <c r="M170" s="2">
        <v>7</v>
      </c>
      <c r="N170" s="2">
        <v>17</v>
      </c>
      <c r="O170" s="2">
        <v>118</v>
      </c>
      <c r="P170" s="126">
        <v>8</v>
      </c>
      <c r="Q170" s="106">
        <v>9</v>
      </c>
      <c r="R170" s="127">
        <v>109</v>
      </c>
      <c r="S170" s="2">
        <v>7</v>
      </c>
      <c r="T170" s="2">
        <v>5</v>
      </c>
      <c r="U170" s="127">
        <v>90</v>
      </c>
      <c r="V170" s="2">
        <v>6</v>
      </c>
      <c r="W170" s="2">
        <v>3</v>
      </c>
      <c r="X170" s="109">
        <v>73</v>
      </c>
    </row>
    <row r="171" spans="1:24" x14ac:dyDescent="0.25">
      <c r="C171" s="105"/>
      <c r="D171" s="109"/>
      <c r="E171" s="2"/>
      <c r="F171" s="2"/>
      <c r="G171" s="126"/>
      <c r="H171" s="127"/>
      <c r="I171" s="2"/>
      <c r="J171" s="127"/>
      <c r="K171" s="2"/>
      <c r="L171" s="109"/>
      <c r="M171" s="2"/>
      <c r="N171" s="2"/>
      <c r="O171" s="2"/>
      <c r="P171" s="126"/>
      <c r="Q171" s="106"/>
      <c r="R171" s="127"/>
      <c r="S171" s="2"/>
      <c r="T171" s="2"/>
      <c r="U171" s="127"/>
      <c r="V171" s="2"/>
      <c r="W171" s="2"/>
      <c r="X171" s="109"/>
    </row>
    <row r="172" spans="1:24" x14ac:dyDescent="0.25">
      <c r="A172" t="s">
        <v>1114</v>
      </c>
      <c r="B172">
        <v>20094785</v>
      </c>
      <c r="C172" s="103">
        <v>40642.5</v>
      </c>
      <c r="D172" s="108">
        <v>7671.3</v>
      </c>
      <c r="E172" s="99">
        <v>5.2362299999999998E-5</v>
      </c>
      <c r="F172" s="99">
        <v>5.2951700000000003E-5</v>
      </c>
      <c r="G172" s="132">
        <v>3.0796600000000003E-5</v>
      </c>
      <c r="H172" s="133">
        <v>3.6937000000000002E-5</v>
      </c>
      <c r="I172" s="99">
        <v>6.2243300000000003E-6</v>
      </c>
      <c r="J172" s="133">
        <v>8.7822399999999998E-6</v>
      </c>
      <c r="K172" s="100">
        <v>2.9999999999999999E-7</v>
      </c>
      <c r="L172" s="118">
        <v>2.9999999999999999E-7</v>
      </c>
      <c r="M172" s="2">
        <v>3</v>
      </c>
      <c r="N172" s="2">
        <v>3</v>
      </c>
      <c r="O172" s="2">
        <v>22</v>
      </c>
      <c r="P172" s="126">
        <v>1</v>
      </c>
      <c r="Q172" s="106">
        <v>2</v>
      </c>
      <c r="R172" s="127">
        <v>10</v>
      </c>
      <c r="S172" s="2">
        <v>0</v>
      </c>
      <c r="T172" s="2">
        <v>1</v>
      </c>
      <c r="U172" s="127">
        <v>1</v>
      </c>
      <c r="V172" s="2">
        <v>0</v>
      </c>
      <c r="W172" s="2">
        <v>0</v>
      </c>
      <c r="X172" s="109">
        <v>0</v>
      </c>
    </row>
    <row r="173" spans="1:24" x14ac:dyDescent="0.25">
      <c r="B173">
        <v>20095121</v>
      </c>
      <c r="C173" s="103">
        <v>2467.6999999999998</v>
      </c>
      <c r="D173" s="108">
        <v>2442.3000000000002</v>
      </c>
      <c r="E173" s="99">
        <v>2.6176900000000002E-4</v>
      </c>
      <c r="F173" s="99">
        <v>2.6367900000000001E-4</v>
      </c>
      <c r="G173" s="132">
        <v>2.5882500000000002E-4</v>
      </c>
      <c r="H173" s="133">
        <v>2.5745899999999998E-4</v>
      </c>
      <c r="I173" s="99">
        <v>2.5561300000000002E-4</v>
      </c>
      <c r="J173" s="133">
        <v>2.5421299999999999E-4</v>
      </c>
      <c r="K173" s="99">
        <v>2.3875E-4</v>
      </c>
      <c r="L173" s="116">
        <v>2.37987E-4</v>
      </c>
      <c r="M173" s="2">
        <v>0</v>
      </c>
      <c r="N173" s="2">
        <v>2</v>
      </c>
      <c r="O173" s="2">
        <v>17</v>
      </c>
      <c r="P173" s="126">
        <v>0</v>
      </c>
      <c r="Q173" s="106">
        <v>0</v>
      </c>
      <c r="R173" s="127">
        <v>16</v>
      </c>
      <c r="S173" s="2">
        <v>0</v>
      </c>
      <c r="T173" s="2">
        <v>0</v>
      </c>
      <c r="U173" s="127">
        <v>15</v>
      </c>
      <c r="V173" s="2">
        <v>0</v>
      </c>
      <c r="W173" s="2">
        <v>0</v>
      </c>
      <c r="X173" s="109">
        <v>11</v>
      </c>
    </row>
    <row r="174" spans="1:24" x14ac:dyDescent="0.25">
      <c r="B174">
        <v>20095236</v>
      </c>
      <c r="C174" s="103">
        <v>355.4</v>
      </c>
      <c r="D174" s="108">
        <v>351.9</v>
      </c>
      <c r="E174" s="99">
        <v>6.6711400000000001E-4</v>
      </c>
      <c r="F174" s="99">
        <v>6.9815999999999997E-4</v>
      </c>
      <c r="G174" s="132">
        <v>6.6711400000000001E-4</v>
      </c>
      <c r="H174" s="133">
        <v>6.9815999999999997E-4</v>
      </c>
      <c r="I174" s="99">
        <v>6.6711400000000001E-4</v>
      </c>
      <c r="J174" s="133">
        <v>6.9815999999999997E-4</v>
      </c>
      <c r="K174" s="99">
        <v>6.6711400000000001E-4</v>
      </c>
      <c r="L174" s="116">
        <v>6.7563900000000001E-4</v>
      </c>
      <c r="M174" s="2">
        <v>0</v>
      </c>
      <c r="N174" s="2">
        <v>5</v>
      </c>
      <c r="O174" s="2">
        <v>13</v>
      </c>
      <c r="P174" s="126">
        <v>0</v>
      </c>
      <c r="Q174" s="106">
        <v>5</v>
      </c>
      <c r="R174" s="127">
        <v>13</v>
      </c>
      <c r="S174" s="2">
        <v>0</v>
      </c>
      <c r="T174" s="2">
        <v>5</v>
      </c>
      <c r="U174" s="127">
        <v>13</v>
      </c>
      <c r="V174" s="2">
        <v>0</v>
      </c>
      <c r="W174" s="2">
        <v>1</v>
      </c>
      <c r="X174" s="109">
        <v>13</v>
      </c>
    </row>
    <row r="175" spans="1:24" x14ac:dyDescent="0.25">
      <c r="B175">
        <v>20095267</v>
      </c>
      <c r="C175" s="103">
        <v>980.3</v>
      </c>
      <c r="D175" s="108">
        <v>968.6</v>
      </c>
      <c r="E175" s="99">
        <v>1.30042E-4</v>
      </c>
      <c r="F175" s="99">
        <v>1.61612E-4</v>
      </c>
      <c r="G175" s="132">
        <v>1.30042E-4</v>
      </c>
      <c r="H175" s="133">
        <v>1.5479299999999999E-4</v>
      </c>
      <c r="I175" s="99">
        <v>1.30042E-4</v>
      </c>
      <c r="J175" s="133">
        <v>1.3842699999999999E-4</v>
      </c>
      <c r="K175" s="99">
        <v>1.00395E-4</v>
      </c>
      <c r="L175" s="116">
        <v>1.1319600000000001E-4</v>
      </c>
      <c r="M175" s="2">
        <v>0</v>
      </c>
      <c r="N175" s="2">
        <v>14</v>
      </c>
      <c r="O175" s="2">
        <v>14</v>
      </c>
      <c r="P175" s="126">
        <v>0</v>
      </c>
      <c r="Q175" s="106">
        <v>11</v>
      </c>
      <c r="R175" s="127">
        <v>14</v>
      </c>
      <c r="S175" s="2">
        <v>1</v>
      </c>
      <c r="T175" s="2">
        <v>6</v>
      </c>
      <c r="U175" s="127">
        <v>13</v>
      </c>
      <c r="V175" s="2">
        <v>0</v>
      </c>
      <c r="W175" s="2">
        <v>6</v>
      </c>
      <c r="X175" s="109">
        <v>8</v>
      </c>
    </row>
    <row r="176" spans="1:24" x14ac:dyDescent="0.25">
      <c r="B176">
        <v>20095383</v>
      </c>
      <c r="C176" s="103">
        <v>9784.4</v>
      </c>
      <c r="D176" s="108">
        <v>7072.9</v>
      </c>
      <c r="E176" s="99">
        <v>3.2942799999999999E-5</v>
      </c>
      <c r="F176" s="99">
        <v>2.9042599999999999E-5</v>
      </c>
      <c r="G176" s="132">
        <v>2.46396E-5</v>
      </c>
      <c r="H176" s="133">
        <v>9.6185999999999997E-6</v>
      </c>
      <c r="I176" s="99">
        <v>1.5863799999999999E-5</v>
      </c>
      <c r="J176" s="133">
        <v>4.9493799999999999E-6</v>
      </c>
      <c r="K176" s="99">
        <v>8.7082299999999995E-6</v>
      </c>
      <c r="L176" s="118">
        <v>2.9999999999999999E-7</v>
      </c>
      <c r="M176" s="2">
        <v>1</v>
      </c>
      <c r="N176" s="2">
        <v>9</v>
      </c>
      <c r="O176" s="2">
        <v>13</v>
      </c>
      <c r="P176" s="126">
        <v>3</v>
      </c>
      <c r="Q176" s="106">
        <v>0</v>
      </c>
      <c r="R176" s="127">
        <v>3</v>
      </c>
      <c r="S176" s="2">
        <v>1</v>
      </c>
      <c r="T176" s="2">
        <v>0</v>
      </c>
      <c r="U176" s="127">
        <v>1</v>
      </c>
      <c r="V176" s="2">
        <v>1</v>
      </c>
      <c r="W176" s="2">
        <v>0</v>
      </c>
      <c r="X176" s="109">
        <v>0</v>
      </c>
    </row>
    <row r="177" spans="2:24" x14ac:dyDescent="0.25">
      <c r="B177">
        <v>20095452</v>
      </c>
      <c r="C177" s="103">
        <v>1902.3</v>
      </c>
      <c r="D177" s="108">
        <v>1886.7</v>
      </c>
      <c r="E177" s="99">
        <v>8.3680399999999999E-5</v>
      </c>
      <c r="F177" s="99">
        <v>9.3472800000000004E-5</v>
      </c>
      <c r="G177" s="132">
        <v>8.1249799999999996E-5</v>
      </c>
      <c r="H177" s="133">
        <v>8.5420900000000001E-5</v>
      </c>
      <c r="I177" s="99">
        <v>8.1249799999999996E-5</v>
      </c>
      <c r="J177" s="133">
        <v>8.5420900000000001E-5</v>
      </c>
      <c r="K177" s="99">
        <v>7.0138700000000007E-5</v>
      </c>
      <c r="L177" s="116">
        <v>7.4218099999999993E-5</v>
      </c>
      <c r="M177" s="2">
        <v>0</v>
      </c>
      <c r="N177" s="2">
        <v>7</v>
      </c>
      <c r="O177" s="2">
        <v>11</v>
      </c>
      <c r="P177" s="126">
        <v>0</v>
      </c>
      <c r="Q177" s="106">
        <v>4</v>
      </c>
      <c r="R177" s="127">
        <v>10</v>
      </c>
      <c r="S177" s="2">
        <v>0</v>
      </c>
      <c r="T177" s="2">
        <v>4</v>
      </c>
      <c r="U177" s="127">
        <v>10</v>
      </c>
      <c r="V177" s="2">
        <v>0</v>
      </c>
      <c r="W177" s="2">
        <v>4</v>
      </c>
      <c r="X177" s="109">
        <v>8</v>
      </c>
    </row>
    <row r="178" spans="2:24" x14ac:dyDescent="0.25">
      <c r="B178">
        <v>20095501</v>
      </c>
      <c r="C178" s="103">
        <v>58390.5</v>
      </c>
      <c r="D178" s="108">
        <v>7719.9</v>
      </c>
      <c r="E178" s="99">
        <v>1.11082E-5</v>
      </c>
      <c r="F178" s="99">
        <v>5.7324000000000004E-6</v>
      </c>
      <c r="G178" s="134">
        <v>2.9999999999999999E-7</v>
      </c>
      <c r="H178" s="135">
        <v>2.9999999999999999E-7</v>
      </c>
      <c r="I178" s="100">
        <v>2.9999999999999999E-7</v>
      </c>
      <c r="J178" s="135">
        <v>2.9999999999999999E-7</v>
      </c>
      <c r="K178" s="100">
        <v>2.9999999999999999E-7</v>
      </c>
      <c r="L178" s="118">
        <v>2.9999999999999999E-7</v>
      </c>
      <c r="M178" s="2">
        <v>18</v>
      </c>
      <c r="N178" s="2">
        <v>1</v>
      </c>
      <c r="O178" s="2">
        <v>6</v>
      </c>
      <c r="P178" s="126">
        <v>0</v>
      </c>
      <c r="Q178" s="106">
        <v>0</v>
      </c>
      <c r="R178" s="127">
        <v>0</v>
      </c>
      <c r="S178" s="2">
        <v>0</v>
      </c>
      <c r="T178" s="2">
        <v>0</v>
      </c>
      <c r="U178" s="127">
        <v>0</v>
      </c>
      <c r="V178" s="2">
        <v>0</v>
      </c>
      <c r="W178" s="2">
        <v>0</v>
      </c>
      <c r="X178" s="109">
        <v>0</v>
      </c>
    </row>
    <row r="179" spans="2:24" x14ac:dyDescent="0.25">
      <c r="B179">
        <v>20095509</v>
      </c>
      <c r="C179" s="103">
        <v>43233.3</v>
      </c>
      <c r="D179" s="108">
        <v>7676.1</v>
      </c>
      <c r="E179" s="99">
        <v>3.7002400000000003E-5</v>
      </c>
      <c r="F179" s="99">
        <v>2.7792899999999999E-5</v>
      </c>
      <c r="G179" s="132">
        <v>8.6624099999999993E-6</v>
      </c>
      <c r="H179" s="133">
        <v>7.1418199999999997E-6</v>
      </c>
      <c r="I179" s="99">
        <v>4.91939E-6</v>
      </c>
      <c r="J179" s="133">
        <v>7.1418199999999997E-6</v>
      </c>
      <c r="K179" s="100">
        <v>2.9999999999999999E-7</v>
      </c>
      <c r="L179" s="118">
        <v>2.9999999999999999E-7</v>
      </c>
      <c r="M179" s="2">
        <v>22</v>
      </c>
      <c r="N179" s="2">
        <v>4</v>
      </c>
      <c r="O179" s="2">
        <v>21</v>
      </c>
      <c r="P179" s="126">
        <v>0</v>
      </c>
      <c r="Q179" s="106">
        <v>0</v>
      </c>
      <c r="R179" s="127">
        <v>2</v>
      </c>
      <c r="S179" s="2">
        <v>0</v>
      </c>
      <c r="T179" s="2">
        <v>1</v>
      </c>
      <c r="U179" s="127">
        <v>1</v>
      </c>
      <c r="V179" s="2">
        <v>0</v>
      </c>
      <c r="W179" s="2">
        <v>0</v>
      </c>
      <c r="X179" s="109">
        <v>0</v>
      </c>
    </row>
    <row r="180" spans="2:24" x14ac:dyDescent="0.25">
      <c r="B180">
        <v>20095510</v>
      </c>
      <c r="C180" s="103">
        <v>1266.5</v>
      </c>
      <c r="D180" s="108">
        <v>1249.7</v>
      </c>
      <c r="E180" s="99">
        <v>1.36639E-4</v>
      </c>
      <c r="F180" s="99">
        <v>1.53275E-4</v>
      </c>
      <c r="G180" s="132">
        <v>1.36639E-4</v>
      </c>
      <c r="H180" s="133">
        <v>1.51161E-4</v>
      </c>
      <c r="I180" s="99">
        <v>1.36639E-4</v>
      </c>
      <c r="J180" s="133">
        <v>1.3319100000000001E-4</v>
      </c>
      <c r="K180" s="99">
        <v>1.10042E-4</v>
      </c>
      <c r="L180" s="116">
        <v>1.10992E-4</v>
      </c>
      <c r="M180" s="2">
        <v>0</v>
      </c>
      <c r="N180" s="2">
        <v>8</v>
      </c>
      <c r="O180" s="2">
        <v>12</v>
      </c>
      <c r="P180" s="126">
        <v>0</v>
      </c>
      <c r="Q180" s="106">
        <v>7</v>
      </c>
      <c r="R180" s="127">
        <v>12</v>
      </c>
      <c r="S180" s="2">
        <v>1</v>
      </c>
      <c r="T180" s="2">
        <v>1</v>
      </c>
      <c r="U180" s="127">
        <v>11</v>
      </c>
      <c r="V180" s="2">
        <v>0</v>
      </c>
      <c r="W180" s="2">
        <v>1</v>
      </c>
      <c r="X180" s="109">
        <v>7</v>
      </c>
    </row>
    <row r="181" spans="2:24" x14ac:dyDescent="0.25">
      <c r="B181">
        <v>20096069</v>
      </c>
      <c r="C181" s="103">
        <v>592.79999999999995</v>
      </c>
      <c r="D181" s="108">
        <v>586.79999999999995</v>
      </c>
      <c r="E181" s="99">
        <v>2.5626700000000002E-4</v>
      </c>
      <c r="F181" s="99">
        <v>2.9717799999999999E-4</v>
      </c>
      <c r="G181" s="132">
        <v>2.5626700000000002E-4</v>
      </c>
      <c r="H181" s="133">
        <v>2.9717799999999999E-4</v>
      </c>
      <c r="I181" s="99">
        <v>2.5626700000000002E-4</v>
      </c>
      <c r="J181" s="133">
        <v>2.8367000000000003E-4</v>
      </c>
      <c r="K181" s="99">
        <v>2.4735300000000002E-4</v>
      </c>
      <c r="L181" s="116">
        <v>2.48774E-4</v>
      </c>
      <c r="M181" s="2">
        <v>0</v>
      </c>
      <c r="N181" s="2">
        <v>11</v>
      </c>
      <c r="O181" s="2">
        <v>10</v>
      </c>
      <c r="P181" s="126">
        <v>0</v>
      </c>
      <c r="Q181" s="106">
        <v>11</v>
      </c>
      <c r="R181" s="127">
        <v>10</v>
      </c>
      <c r="S181" s="2">
        <v>0</v>
      </c>
      <c r="T181" s="2">
        <v>7</v>
      </c>
      <c r="U181" s="127">
        <v>10</v>
      </c>
      <c r="V181" s="2">
        <v>0</v>
      </c>
      <c r="W181" s="2">
        <v>1</v>
      </c>
      <c r="X181" s="109">
        <v>9</v>
      </c>
    </row>
    <row r="182" spans="2:24" x14ac:dyDescent="0.25">
      <c r="B182">
        <v>20096074</v>
      </c>
      <c r="C182" s="103">
        <v>27549.5</v>
      </c>
      <c r="D182" s="108">
        <v>7609.7</v>
      </c>
      <c r="E182" s="99">
        <v>9.8921199999999997E-5</v>
      </c>
      <c r="F182" s="99">
        <v>8.5322300000000001E-5</v>
      </c>
      <c r="G182" s="132">
        <v>8.7365200000000002E-5</v>
      </c>
      <c r="H182" s="133">
        <v>7.3604599999999997E-5</v>
      </c>
      <c r="I182" s="99">
        <v>7.7343700000000003E-5</v>
      </c>
      <c r="J182" s="133">
        <v>6.7007899999999999E-5</v>
      </c>
      <c r="K182" s="99">
        <v>7.7343700000000003E-5</v>
      </c>
      <c r="L182" s="116">
        <v>6.7007899999999999E-5</v>
      </c>
      <c r="M182" s="2">
        <v>6</v>
      </c>
      <c r="N182" s="2">
        <v>5</v>
      </c>
      <c r="O182" s="2">
        <v>14</v>
      </c>
      <c r="P182" s="126">
        <v>1</v>
      </c>
      <c r="Q182" s="106">
        <v>0</v>
      </c>
      <c r="R182" s="127">
        <v>5</v>
      </c>
      <c r="S182" s="2">
        <v>0</v>
      </c>
      <c r="T182" s="2">
        <v>0</v>
      </c>
      <c r="U182" s="127">
        <v>2</v>
      </c>
      <c r="V182" s="2">
        <v>0</v>
      </c>
      <c r="W182" s="2">
        <v>0</v>
      </c>
      <c r="X182" s="109">
        <v>2</v>
      </c>
    </row>
    <row r="183" spans="2:24" x14ac:dyDescent="0.25">
      <c r="B183">
        <v>20097208</v>
      </c>
      <c r="C183" s="103">
        <v>52458.2</v>
      </c>
      <c r="D183" s="108">
        <v>7720.2</v>
      </c>
      <c r="E183" s="99">
        <v>3.95874E-4</v>
      </c>
      <c r="F183" s="99">
        <v>3.4957800000000002E-4</v>
      </c>
      <c r="G183" s="132">
        <v>3.8985499999999999E-4</v>
      </c>
      <c r="H183" s="133">
        <v>3.4513000000000002E-4</v>
      </c>
      <c r="I183" s="99">
        <v>3.8217500000000001E-4</v>
      </c>
      <c r="J183" s="133">
        <v>3.37258E-4</v>
      </c>
      <c r="K183" s="99">
        <v>3.3626800000000003E-4</v>
      </c>
      <c r="L183" s="116">
        <v>3.1758099999999999E-4</v>
      </c>
      <c r="M183" s="2">
        <v>7</v>
      </c>
      <c r="N183" s="2">
        <v>3</v>
      </c>
      <c r="O183" s="2">
        <v>15</v>
      </c>
      <c r="P183" s="126">
        <v>0</v>
      </c>
      <c r="Q183" s="106">
        <v>0</v>
      </c>
      <c r="R183" s="127">
        <v>13</v>
      </c>
      <c r="S183" s="2">
        <v>0</v>
      </c>
      <c r="T183" s="2">
        <v>0</v>
      </c>
      <c r="U183" s="127">
        <v>10</v>
      </c>
      <c r="V183" s="2">
        <v>0</v>
      </c>
      <c r="W183" s="2">
        <v>3</v>
      </c>
      <c r="X183" s="109">
        <v>3</v>
      </c>
    </row>
    <row r="184" spans="2:24" x14ac:dyDescent="0.25">
      <c r="B184">
        <v>20097214</v>
      </c>
      <c r="C184" s="103">
        <v>7786.9</v>
      </c>
      <c r="D184" s="108">
        <v>6721.1</v>
      </c>
      <c r="E184" s="99">
        <v>5.9460499999999998E-5</v>
      </c>
      <c r="F184" s="99">
        <v>6.9478800000000003E-5</v>
      </c>
      <c r="G184" s="132">
        <v>1.85761E-5</v>
      </c>
      <c r="H184" s="133">
        <v>1.9556300000000001E-5</v>
      </c>
      <c r="I184" s="99">
        <v>1.7134099999999999E-5</v>
      </c>
      <c r="J184" s="133">
        <v>1.7983899999999999E-5</v>
      </c>
      <c r="K184" s="99">
        <v>1.0263499999999999E-5</v>
      </c>
      <c r="L184" s="116">
        <v>1.09083E-5</v>
      </c>
      <c r="M184" s="2">
        <v>0</v>
      </c>
      <c r="N184" s="2">
        <v>11</v>
      </c>
      <c r="O184" s="2">
        <v>32</v>
      </c>
      <c r="P184" s="126">
        <v>0</v>
      </c>
      <c r="Q184" s="106">
        <v>0</v>
      </c>
      <c r="R184" s="127">
        <v>4</v>
      </c>
      <c r="S184" s="2">
        <v>0</v>
      </c>
      <c r="T184" s="2">
        <v>0</v>
      </c>
      <c r="U184" s="127">
        <v>3</v>
      </c>
      <c r="V184" s="2">
        <v>0</v>
      </c>
      <c r="W184" s="2">
        <v>0</v>
      </c>
      <c r="X184" s="109">
        <v>1</v>
      </c>
    </row>
    <row r="185" spans="2:24" x14ac:dyDescent="0.25">
      <c r="B185">
        <v>20097575</v>
      </c>
      <c r="C185" s="103">
        <v>297.10000000000002</v>
      </c>
      <c r="D185" s="108">
        <v>294.2</v>
      </c>
      <c r="E185" s="99">
        <v>3.4676500000000002E-4</v>
      </c>
      <c r="F185" s="99">
        <v>3.9063299999999999E-4</v>
      </c>
      <c r="G185" s="132">
        <v>3.4676500000000002E-4</v>
      </c>
      <c r="H185" s="133">
        <v>3.9063299999999999E-4</v>
      </c>
      <c r="I185" s="99">
        <v>3.4676500000000002E-4</v>
      </c>
      <c r="J185" s="133">
        <v>3.9063299999999999E-4</v>
      </c>
      <c r="K185" s="99">
        <v>3.4676500000000002E-4</v>
      </c>
      <c r="L185" s="116">
        <v>3.7042800000000001E-4</v>
      </c>
      <c r="M185" s="2">
        <v>0</v>
      </c>
      <c r="N185" s="2">
        <v>7</v>
      </c>
      <c r="O185" s="2">
        <v>7</v>
      </c>
      <c r="P185" s="126">
        <v>0</v>
      </c>
      <c r="Q185" s="106">
        <v>7</v>
      </c>
      <c r="R185" s="127">
        <v>7</v>
      </c>
      <c r="S185" s="2">
        <v>0</v>
      </c>
      <c r="T185" s="2">
        <v>7</v>
      </c>
      <c r="U185" s="127">
        <v>7</v>
      </c>
      <c r="V185" s="2">
        <v>0</v>
      </c>
      <c r="W185" s="2">
        <v>3</v>
      </c>
      <c r="X185" s="109">
        <v>7</v>
      </c>
    </row>
    <row r="186" spans="2:24" x14ac:dyDescent="0.25">
      <c r="B186">
        <v>20097608</v>
      </c>
      <c r="C186" s="103">
        <v>19806.7</v>
      </c>
      <c r="D186" s="108">
        <v>7582.4</v>
      </c>
      <c r="E186" s="99">
        <v>4.33517E-5</v>
      </c>
      <c r="F186" s="99">
        <v>4.4861499999999997E-5</v>
      </c>
      <c r="G186" s="132">
        <v>2.33432E-6</v>
      </c>
      <c r="H186" s="133">
        <v>8.7980900000000007E-6</v>
      </c>
      <c r="I186" s="100">
        <v>2.9999999999999999E-7</v>
      </c>
      <c r="J186" s="133">
        <v>3.6586099999999999E-6</v>
      </c>
      <c r="K186" s="100">
        <v>2.9999999999999999E-7</v>
      </c>
      <c r="L186" s="118">
        <v>2.9999999999999999E-7</v>
      </c>
      <c r="M186" s="2">
        <v>2</v>
      </c>
      <c r="N186" s="2">
        <v>6</v>
      </c>
      <c r="O186" s="2">
        <v>30</v>
      </c>
      <c r="P186" s="126">
        <v>0</v>
      </c>
      <c r="Q186" s="106">
        <v>2</v>
      </c>
      <c r="R186" s="127">
        <v>1</v>
      </c>
      <c r="S186" s="2">
        <v>0</v>
      </c>
      <c r="T186" s="2">
        <v>1</v>
      </c>
      <c r="U186" s="127">
        <v>0</v>
      </c>
      <c r="V186" s="2">
        <v>0</v>
      </c>
      <c r="W186" s="2">
        <v>0</v>
      </c>
      <c r="X186" s="109">
        <v>0</v>
      </c>
    </row>
    <row r="187" spans="2:24" x14ac:dyDescent="0.25">
      <c r="B187">
        <v>20097639</v>
      </c>
      <c r="C187" s="103">
        <v>25980.1</v>
      </c>
      <c r="D187" s="108">
        <v>7607.4</v>
      </c>
      <c r="E187" s="99">
        <v>1.6181999999999999E-4</v>
      </c>
      <c r="F187" s="99">
        <v>1.2502600000000001E-4</v>
      </c>
      <c r="G187" s="132">
        <v>1.55718E-4</v>
      </c>
      <c r="H187" s="133">
        <v>1.1938300000000001E-4</v>
      </c>
      <c r="I187" s="99">
        <v>1.55718E-4</v>
      </c>
      <c r="J187" s="133">
        <v>1.16431E-4</v>
      </c>
      <c r="K187" s="99">
        <v>1.55718E-4</v>
      </c>
      <c r="L187" s="116">
        <v>1.16431E-4</v>
      </c>
      <c r="M187" s="2">
        <v>0</v>
      </c>
      <c r="N187" s="2">
        <v>2</v>
      </c>
      <c r="O187" s="2">
        <v>5</v>
      </c>
      <c r="P187" s="126">
        <v>0</v>
      </c>
      <c r="Q187" s="106">
        <v>1</v>
      </c>
      <c r="R187" s="127">
        <v>1</v>
      </c>
      <c r="S187" s="2">
        <v>0</v>
      </c>
      <c r="T187" s="2">
        <v>0</v>
      </c>
      <c r="U187" s="127">
        <v>1</v>
      </c>
      <c r="V187" s="2">
        <v>0</v>
      </c>
      <c r="W187" s="2">
        <v>0</v>
      </c>
      <c r="X187" s="109">
        <v>1</v>
      </c>
    </row>
    <row r="188" spans="2:24" x14ac:dyDescent="0.25">
      <c r="B188">
        <v>20097661</v>
      </c>
      <c r="C188" s="103">
        <v>7025.7</v>
      </c>
      <c r="D188" s="108">
        <v>6092.2</v>
      </c>
      <c r="E188" s="99">
        <v>4.6724100000000002E-5</v>
      </c>
      <c r="F188" s="99">
        <v>7.61092E-5</v>
      </c>
      <c r="G188" s="132">
        <v>3.4126499999999999E-5</v>
      </c>
      <c r="H188" s="133">
        <v>4.1415499999999997E-5</v>
      </c>
      <c r="I188" s="99">
        <v>3.2904300000000003E-5</v>
      </c>
      <c r="J188" s="133">
        <v>3.6536799999999999E-5</v>
      </c>
      <c r="K188" s="99">
        <v>3.2340199999999999E-5</v>
      </c>
      <c r="L188" s="116">
        <v>3.6536799999999999E-5</v>
      </c>
      <c r="M188" s="2">
        <v>0</v>
      </c>
      <c r="N188" s="2">
        <v>33</v>
      </c>
      <c r="O188" s="2">
        <v>11</v>
      </c>
      <c r="P188" s="126">
        <v>0</v>
      </c>
      <c r="Q188" s="106">
        <v>2</v>
      </c>
      <c r="R188" s="127">
        <v>3</v>
      </c>
      <c r="S188" s="2">
        <v>1</v>
      </c>
      <c r="T188" s="2">
        <v>0</v>
      </c>
      <c r="U188" s="127">
        <v>1</v>
      </c>
      <c r="V188" s="2">
        <v>0</v>
      </c>
      <c r="W188" s="2">
        <v>0</v>
      </c>
      <c r="X188" s="109">
        <v>1</v>
      </c>
    </row>
    <row r="189" spans="2:24" x14ac:dyDescent="0.25">
      <c r="B189">
        <v>20100450</v>
      </c>
      <c r="C189" s="103">
        <v>2141.1999999999998</v>
      </c>
      <c r="D189" s="108">
        <v>2124.4</v>
      </c>
      <c r="E189" s="99">
        <v>2.1285100000000001E-5</v>
      </c>
      <c r="F189" s="99">
        <v>3.97975E-5</v>
      </c>
      <c r="G189" s="132">
        <v>2.1285100000000001E-5</v>
      </c>
      <c r="H189" s="133">
        <v>2.42516E-5</v>
      </c>
      <c r="I189" s="99">
        <v>5.5526300000000004E-6</v>
      </c>
      <c r="J189" s="133">
        <v>5.2855999999999998E-6</v>
      </c>
      <c r="K189" s="100">
        <v>2.9999999999999999E-7</v>
      </c>
      <c r="L189" s="118">
        <v>2.9999999999999999E-7</v>
      </c>
      <c r="M189" s="2">
        <v>0</v>
      </c>
      <c r="N189" s="2">
        <v>11</v>
      </c>
      <c r="O189" s="2">
        <v>7</v>
      </c>
      <c r="P189" s="126">
        <v>0</v>
      </c>
      <c r="Q189" s="106">
        <v>2</v>
      </c>
      <c r="R189" s="127">
        <v>7</v>
      </c>
      <c r="S189" s="2">
        <v>0</v>
      </c>
      <c r="T189" s="2">
        <v>0</v>
      </c>
      <c r="U189" s="127">
        <v>2</v>
      </c>
      <c r="V189" s="2">
        <v>0</v>
      </c>
      <c r="W189" s="2">
        <v>0</v>
      </c>
      <c r="X189" s="109">
        <v>0</v>
      </c>
    </row>
    <row r="190" spans="2:24" x14ac:dyDescent="0.25">
      <c r="B190">
        <v>20101450</v>
      </c>
      <c r="C190" s="103">
        <v>15075.4</v>
      </c>
      <c r="D190" s="108">
        <v>6967</v>
      </c>
      <c r="E190" s="99">
        <v>6.8874499999999999E-5</v>
      </c>
      <c r="F190" s="99">
        <v>7.9825200000000003E-5</v>
      </c>
      <c r="G190" s="132">
        <v>6.3266400000000001E-5</v>
      </c>
      <c r="H190" s="133">
        <v>7.2146100000000004E-5</v>
      </c>
      <c r="I190" s="99">
        <v>5.9235599999999999E-5</v>
      </c>
      <c r="J190" s="133">
        <v>6.8448700000000001E-5</v>
      </c>
      <c r="K190" s="99">
        <v>5.9235599999999999E-5</v>
      </c>
      <c r="L190" s="116">
        <v>6.8448700000000001E-5</v>
      </c>
      <c r="M190" s="2">
        <v>2</v>
      </c>
      <c r="N190" s="2">
        <v>11</v>
      </c>
      <c r="O190" s="2">
        <v>9</v>
      </c>
      <c r="P190" s="126">
        <v>0</v>
      </c>
      <c r="Q190" s="106">
        <v>4</v>
      </c>
      <c r="R190" s="127">
        <v>5</v>
      </c>
      <c r="S190" s="2">
        <v>0</v>
      </c>
      <c r="T190" s="2">
        <v>4</v>
      </c>
      <c r="U190" s="127">
        <v>4</v>
      </c>
      <c r="V190" s="2">
        <v>0</v>
      </c>
      <c r="W190" s="2">
        <v>4</v>
      </c>
      <c r="X190" s="109">
        <v>4</v>
      </c>
    </row>
    <row r="191" spans="2:24" x14ac:dyDescent="0.25">
      <c r="B191">
        <v>20101466</v>
      </c>
      <c r="C191" s="103">
        <v>471.3</v>
      </c>
      <c r="D191" s="108">
        <v>467.7</v>
      </c>
      <c r="E191" s="99">
        <v>5.9984100000000005E-4</v>
      </c>
      <c r="F191" s="99">
        <v>6.1859199999999995E-4</v>
      </c>
      <c r="G191" s="132">
        <v>5.9984100000000005E-4</v>
      </c>
      <c r="H191" s="133">
        <v>6.1859199999999995E-4</v>
      </c>
      <c r="I191" s="99">
        <v>5.9984100000000005E-4</v>
      </c>
      <c r="J191" s="133">
        <v>6.1859199999999995E-4</v>
      </c>
      <c r="K191" s="99">
        <v>5.8582600000000001E-4</v>
      </c>
      <c r="L191" s="116">
        <v>5.8610900000000002E-4</v>
      </c>
      <c r="M191" s="2">
        <v>0</v>
      </c>
      <c r="N191" s="2">
        <v>5</v>
      </c>
      <c r="O191" s="2">
        <v>23</v>
      </c>
      <c r="P191" s="126">
        <v>0</v>
      </c>
      <c r="Q191" s="106">
        <v>5</v>
      </c>
      <c r="R191" s="127">
        <v>23</v>
      </c>
      <c r="S191" s="2">
        <v>0</v>
      </c>
      <c r="T191" s="2">
        <v>5</v>
      </c>
      <c r="U191" s="127">
        <v>23</v>
      </c>
      <c r="V191" s="2">
        <v>0</v>
      </c>
      <c r="W191" s="2">
        <v>0</v>
      </c>
      <c r="X191" s="109">
        <v>21</v>
      </c>
    </row>
    <row r="192" spans="2:24" x14ac:dyDescent="0.25">
      <c r="B192">
        <v>20101910</v>
      </c>
      <c r="C192" s="103">
        <v>849.7</v>
      </c>
      <c r="D192" s="108">
        <v>842.4</v>
      </c>
      <c r="E192" s="99">
        <v>7.0117599999999997E-4</v>
      </c>
      <c r="F192" s="99">
        <v>7.1268299999999998E-4</v>
      </c>
      <c r="G192" s="132">
        <v>7.0117599999999997E-4</v>
      </c>
      <c r="H192" s="133">
        <v>7.1268299999999998E-4</v>
      </c>
      <c r="I192" s="99">
        <v>7.0117599999999997E-4</v>
      </c>
      <c r="J192" s="133">
        <v>7.1033100000000003E-4</v>
      </c>
      <c r="K192" s="99">
        <v>6.28105E-4</v>
      </c>
      <c r="L192" s="116">
        <v>6.2644000000000003E-4</v>
      </c>
      <c r="M192" s="2">
        <v>0</v>
      </c>
      <c r="N192" s="2">
        <v>5</v>
      </c>
      <c r="O192" s="2">
        <v>37</v>
      </c>
      <c r="P192" s="126">
        <v>0</v>
      </c>
      <c r="Q192" s="106">
        <v>5</v>
      </c>
      <c r="R192" s="127">
        <v>37</v>
      </c>
      <c r="S192" s="2">
        <v>0</v>
      </c>
      <c r="T192" s="2">
        <v>4</v>
      </c>
      <c r="U192" s="127">
        <v>37</v>
      </c>
      <c r="V192" s="2">
        <v>0</v>
      </c>
      <c r="W192" s="2">
        <v>1</v>
      </c>
      <c r="X192" s="109">
        <v>24</v>
      </c>
    </row>
    <row r="193" spans="2:24" x14ac:dyDescent="0.25">
      <c r="B193">
        <v>20102111</v>
      </c>
      <c r="C193" s="103">
        <v>307.5</v>
      </c>
      <c r="D193" s="108">
        <v>303.39999999999998</v>
      </c>
      <c r="E193" s="99">
        <v>1.4326899999999999E-3</v>
      </c>
      <c r="F193" s="99">
        <v>1.4348E-3</v>
      </c>
      <c r="G193" s="132">
        <v>1.4326899999999999E-3</v>
      </c>
      <c r="H193" s="133">
        <v>1.4348E-3</v>
      </c>
      <c r="I193" s="99">
        <v>1.4326899999999999E-3</v>
      </c>
      <c r="J193" s="133">
        <v>1.4348E-3</v>
      </c>
      <c r="K193" s="99">
        <v>1.4326899999999999E-3</v>
      </c>
      <c r="L193" s="116">
        <v>1.4304400000000001E-3</v>
      </c>
      <c r="M193" s="2">
        <v>0</v>
      </c>
      <c r="N193" s="2">
        <v>3</v>
      </c>
      <c r="O193" s="2">
        <v>28</v>
      </c>
      <c r="P193" s="126">
        <v>0</v>
      </c>
      <c r="Q193" s="106">
        <v>3</v>
      </c>
      <c r="R193" s="127">
        <v>28</v>
      </c>
      <c r="S193" s="2">
        <v>0</v>
      </c>
      <c r="T193" s="2">
        <v>3</v>
      </c>
      <c r="U193" s="127">
        <v>28</v>
      </c>
      <c r="V193" s="2">
        <v>0</v>
      </c>
      <c r="W193" s="2">
        <v>2</v>
      </c>
      <c r="X193" s="109">
        <v>28</v>
      </c>
    </row>
    <row r="194" spans="2:24" x14ac:dyDescent="0.25">
      <c r="B194">
        <v>20102207</v>
      </c>
      <c r="C194" s="103">
        <v>2921.4</v>
      </c>
      <c r="D194" s="108">
        <v>2892.3</v>
      </c>
      <c r="E194" s="99">
        <v>7.5061200000000006E-5</v>
      </c>
      <c r="F194" s="99">
        <v>8.3126400000000004E-5</v>
      </c>
      <c r="G194" s="132">
        <v>7.5061200000000006E-5</v>
      </c>
      <c r="H194" s="133">
        <v>7.4448299999999997E-5</v>
      </c>
      <c r="I194" s="99">
        <v>6.3304699999999997E-5</v>
      </c>
      <c r="J194" s="133">
        <v>6.2801500000000005E-5</v>
      </c>
      <c r="K194" s="99">
        <v>5.8782900000000003E-5</v>
      </c>
      <c r="L194" s="116">
        <v>5.77774E-5</v>
      </c>
      <c r="M194" s="2">
        <v>0</v>
      </c>
      <c r="N194" s="2">
        <v>9</v>
      </c>
      <c r="O194" s="2">
        <v>6</v>
      </c>
      <c r="P194" s="126">
        <v>0</v>
      </c>
      <c r="Q194" s="106">
        <v>2</v>
      </c>
      <c r="R194" s="127">
        <v>6</v>
      </c>
      <c r="S194" s="2">
        <v>0</v>
      </c>
      <c r="T194" s="2">
        <v>2</v>
      </c>
      <c r="U194" s="127">
        <v>2</v>
      </c>
      <c r="V194" s="2">
        <v>0</v>
      </c>
      <c r="W194" s="2">
        <v>1</v>
      </c>
      <c r="X194" s="109">
        <v>1</v>
      </c>
    </row>
    <row r="195" spans="2:24" x14ac:dyDescent="0.25">
      <c r="B195">
        <v>20102236</v>
      </c>
      <c r="C195" s="103">
        <v>998.5</v>
      </c>
      <c r="D195" s="108">
        <v>988.8</v>
      </c>
      <c r="E195" s="99">
        <v>1.10475E-3</v>
      </c>
      <c r="F195" s="99">
        <v>1.10957E-3</v>
      </c>
      <c r="G195" s="132">
        <v>1.10475E-3</v>
      </c>
      <c r="H195" s="133">
        <v>1.1075600000000001E-3</v>
      </c>
      <c r="I195" s="99">
        <v>1.10475E-3</v>
      </c>
      <c r="J195" s="133">
        <v>1.1048900000000001E-3</v>
      </c>
      <c r="K195" s="99">
        <v>1.0862300000000001E-3</v>
      </c>
      <c r="L195" s="116">
        <v>1.08752E-3</v>
      </c>
      <c r="M195" s="2">
        <v>0</v>
      </c>
      <c r="N195" s="2">
        <v>2</v>
      </c>
      <c r="O195" s="2">
        <v>13</v>
      </c>
      <c r="P195" s="126">
        <v>0</v>
      </c>
      <c r="Q195" s="106">
        <v>1</v>
      </c>
      <c r="R195" s="127">
        <v>13</v>
      </c>
      <c r="S195" s="2">
        <v>0</v>
      </c>
      <c r="T195" s="2">
        <v>0</v>
      </c>
      <c r="U195" s="127">
        <v>13</v>
      </c>
      <c r="V195" s="2">
        <v>0</v>
      </c>
      <c r="W195" s="2">
        <v>0</v>
      </c>
      <c r="X195" s="109">
        <v>9</v>
      </c>
    </row>
    <row r="196" spans="2:24" x14ac:dyDescent="0.25">
      <c r="B196">
        <v>20102251</v>
      </c>
      <c r="C196" s="103">
        <v>4669</v>
      </c>
      <c r="D196" s="108">
        <v>4578.7</v>
      </c>
      <c r="E196" s="99">
        <v>4.3344800000000001E-4</v>
      </c>
      <c r="F196" s="99">
        <v>4.3695099999999998E-4</v>
      </c>
      <c r="G196" s="132">
        <v>4.3217499999999997E-4</v>
      </c>
      <c r="H196" s="133">
        <v>4.3320000000000001E-4</v>
      </c>
      <c r="I196" s="99">
        <v>4.2580899999999997E-4</v>
      </c>
      <c r="J196" s="133">
        <v>4.2685299999999999E-4</v>
      </c>
      <c r="K196" s="99">
        <v>4.2580899999999997E-4</v>
      </c>
      <c r="L196" s="116">
        <v>4.2685299999999999E-4</v>
      </c>
      <c r="M196" s="2">
        <v>0</v>
      </c>
      <c r="N196" s="2">
        <v>2</v>
      </c>
      <c r="O196" s="2">
        <v>21</v>
      </c>
      <c r="P196" s="126">
        <v>0</v>
      </c>
      <c r="Q196" s="106">
        <v>0</v>
      </c>
      <c r="R196" s="127">
        <v>20</v>
      </c>
      <c r="S196" s="2">
        <v>0</v>
      </c>
      <c r="T196" s="2">
        <v>0</v>
      </c>
      <c r="U196" s="127">
        <v>17</v>
      </c>
      <c r="V196" s="2">
        <v>0</v>
      </c>
      <c r="W196" s="2">
        <v>0</v>
      </c>
      <c r="X196" s="109">
        <v>17</v>
      </c>
    </row>
    <row r="197" spans="2:24" x14ac:dyDescent="0.25">
      <c r="B197">
        <v>20102362</v>
      </c>
      <c r="C197" s="103">
        <v>1956.1</v>
      </c>
      <c r="D197" s="108">
        <v>1941.7</v>
      </c>
      <c r="E197" s="99">
        <v>1.19535E-4</v>
      </c>
      <c r="F197" s="99">
        <v>1.3947100000000001E-4</v>
      </c>
      <c r="G197" s="132">
        <v>1.19535E-4</v>
      </c>
      <c r="H197" s="133">
        <v>1.2552400000000001E-4</v>
      </c>
      <c r="I197" s="99">
        <v>1.19535E-4</v>
      </c>
      <c r="J197" s="133">
        <v>1.20081E-4</v>
      </c>
      <c r="K197" s="99">
        <v>8.8468999999999996E-5</v>
      </c>
      <c r="L197" s="116">
        <v>8.9465599999999999E-5</v>
      </c>
      <c r="M197" s="2">
        <v>0</v>
      </c>
      <c r="N197" s="2">
        <v>13</v>
      </c>
      <c r="O197" s="2">
        <v>9</v>
      </c>
      <c r="P197" s="126">
        <v>0</v>
      </c>
      <c r="Q197" s="106">
        <v>4</v>
      </c>
      <c r="R197" s="127">
        <v>9</v>
      </c>
      <c r="S197" s="2">
        <v>0</v>
      </c>
      <c r="T197" s="2">
        <v>1</v>
      </c>
      <c r="U197" s="127">
        <v>9</v>
      </c>
      <c r="V197" s="2">
        <v>0</v>
      </c>
      <c r="W197" s="2">
        <v>1</v>
      </c>
      <c r="X197" s="109">
        <v>3</v>
      </c>
    </row>
    <row r="198" spans="2:24" x14ac:dyDescent="0.25">
      <c r="B198">
        <v>20110104</v>
      </c>
      <c r="C198" s="103">
        <v>283.3</v>
      </c>
      <c r="D198" s="108">
        <v>279.60000000000002</v>
      </c>
      <c r="E198" s="99">
        <v>8.0664699999999996E-4</v>
      </c>
      <c r="F198" s="99">
        <v>8.5986600000000004E-4</v>
      </c>
      <c r="G198" s="132">
        <v>8.0664699999999996E-4</v>
      </c>
      <c r="H198" s="133">
        <v>8.5986600000000004E-4</v>
      </c>
      <c r="I198" s="99">
        <v>8.0664699999999996E-4</v>
      </c>
      <c r="J198" s="133">
        <v>8.5986600000000004E-4</v>
      </c>
      <c r="K198" s="99">
        <v>8.0664699999999996E-4</v>
      </c>
      <c r="L198" s="116">
        <v>8.2679400000000005E-4</v>
      </c>
      <c r="M198" s="2">
        <v>0</v>
      </c>
      <c r="N198" s="2">
        <v>7</v>
      </c>
      <c r="O198" s="2">
        <v>15</v>
      </c>
      <c r="P198" s="126">
        <v>0</v>
      </c>
      <c r="Q198" s="106">
        <v>7</v>
      </c>
      <c r="R198" s="127">
        <v>15</v>
      </c>
      <c r="S198" s="2">
        <v>0</v>
      </c>
      <c r="T198" s="2">
        <v>7</v>
      </c>
      <c r="U198" s="127">
        <v>15</v>
      </c>
      <c r="V198" s="2">
        <v>0</v>
      </c>
      <c r="W198" s="2">
        <v>2</v>
      </c>
      <c r="X198" s="109">
        <v>15</v>
      </c>
    </row>
    <row r="199" spans="2:24" x14ac:dyDescent="0.25">
      <c r="B199">
        <v>20110187</v>
      </c>
      <c r="C199" s="103" t="s">
        <v>49</v>
      </c>
      <c r="D199" s="108" t="s">
        <v>49</v>
      </c>
      <c r="E199" s="99" t="s">
        <v>49</v>
      </c>
      <c r="F199" s="99" t="s">
        <v>49</v>
      </c>
      <c r="G199" s="132" t="s">
        <v>49</v>
      </c>
      <c r="H199" s="133" t="s">
        <v>49</v>
      </c>
      <c r="I199" s="99" t="s">
        <v>49</v>
      </c>
      <c r="J199" s="133" t="s">
        <v>49</v>
      </c>
      <c r="K199" s="99" t="s">
        <v>49</v>
      </c>
      <c r="L199" s="116" t="s">
        <v>49</v>
      </c>
      <c r="M199" s="2" t="s">
        <v>49</v>
      </c>
      <c r="N199" s="2" t="s">
        <v>49</v>
      </c>
      <c r="O199" s="2" t="s">
        <v>49</v>
      </c>
      <c r="P199" s="126" t="s">
        <v>49</v>
      </c>
      <c r="Q199" s="106" t="s">
        <v>49</v>
      </c>
      <c r="R199" s="127" t="s">
        <v>49</v>
      </c>
      <c r="S199" s="2" t="s">
        <v>49</v>
      </c>
      <c r="T199" s="2" t="s">
        <v>49</v>
      </c>
      <c r="U199" s="127" t="s">
        <v>49</v>
      </c>
      <c r="V199" s="2" t="s">
        <v>49</v>
      </c>
      <c r="W199" s="2" t="s">
        <v>49</v>
      </c>
      <c r="X199" s="109" t="s">
        <v>49</v>
      </c>
    </row>
    <row r="200" spans="2:24" x14ac:dyDescent="0.25">
      <c r="B200">
        <v>20110299</v>
      </c>
      <c r="C200" s="103">
        <v>597.1</v>
      </c>
      <c r="D200" s="108">
        <v>589.4</v>
      </c>
      <c r="E200" s="99">
        <v>3.5507300000000002E-4</v>
      </c>
      <c r="F200" s="99">
        <v>3.6645699999999999E-4</v>
      </c>
      <c r="G200" s="132">
        <v>3.5507300000000002E-4</v>
      </c>
      <c r="H200" s="133">
        <v>3.6645699999999999E-4</v>
      </c>
      <c r="I200" s="99">
        <v>3.5507300000000002E-4</v>
      </c>
      <c r="J200" s="133">
        <v>3.6645699999999999E-4</v>
      </c>
      <c r="K200" s="99">
        <v>3.3516299999999998E-4</v>
      </c>
      <c r="L200" s="116">
        <v>3.3171600000000002E-4</v>
      </c>
      <c r="M200" s="2">
        <v>0</v>
      </c>
      <c r="N200" s="2">
        <v>4</v>
      </c>
      <c r="O200" s="2">
        <v>22</v>
      </c>
      <c r="P200" s="126">
        <v>0</v>
      </c>
      <c r="Q200" s="106">
        <v>4</v>
      </c>
      <c r="R200" s="127">
        <v>22</v>
      </c>
      <c r="S200" s="2">
        <v>0</v>
      </c>
      <c r="T200" s="2">
        <v>4</v>
      </c>
      <c r="U200" s="127">
        <v>22</v>
      </c>
      <c r="V200" s="2">
        <v>1</v>
      </c>
      <c r="W200" s="2">
        <v>2</v>
      </c>
      <c r="X200" s="109">
        <v>18</v>
      </c>
    </row>
    <row r="201" spans="2:24" x14ac:dyDescent="0.25">
      <c r="B201">
        <v>20110402</v>
      </c>
      <c r="C201" s="103">
        <v>736.8</v>
      </c>
      <c r="D201" s="108">
        <v>723.3</v>
      </c>
      <c r="E201" s="99">
        <v>2.1065999999999999E-4</v>
      </c>
      <c r="F201" s="99">
        <v>2.5294800000000002E-4</v>
      </c>
      <c r="G201" s="132">
        <v>2.1065999999999999E-4</v>
      </c>
      <c r="H201" s="133">
        <v>2.5294800000000002E-4</v>
      </c>
      <c r="I201" s="99">
        <v>2.1065999999999999E-4</v>
      </c>
      <c r="J201" s="133">
        <v>2.3011900000000001E-4</v>
      </c>
      <c r="K201" s="99">
        <v>1.9452400000000001E-4</v>
      </c>
      <c r="L201" s="116">
        <v>2.0089700000000001E-4</v>
      </c>
      <c r="M201" s="2">
        <v>0</v>
      </c>
      <c r="N201" s="2">
        <v>13</v>
      </c>
      <c r="O201" s="2">
        <v>15</v>
      </c>
      <c r="P201" s="126">
        <v>0</v>
      </c>
      <c r="Q201" s="106">
        <v>13</v>
      </c>
      <c r="R201" s="127">
        <v>15</v>
      </c>
      <c r="S201" s="2">
        <v>0</v>
      </c>
      <c r="T201" s="2">
        <v>6</v>
      </c>
      <c r="U201" s="127">
        <v>15</v>
      </c>
      <c r="V201" s="2">
        <v>0</v>
      </c>
      <c r="W201" s="2">
        <v>3</v>
      </c>
      <c r="X201" s="109">
        <v>12</v>
      </c>
    </row>
    <row r="202" spans="2:24" x14ac:dyDescent="0.25">
      <c r="B202">
        <v>20110602</v>
      </c>
      <c r="C202" s="103">
        <v>1061.2</v>
      </c>
      <c r="D202" s="108">
        <v>1052.9000000000001</v>
      </c>
      <c r="E202" s="99">
        <v>1.8174700000000001E-4</v>
      </c>
      <c r="F202" s="99">
        <v>2.08903E-4</v>
      </c>
      <c r="G202" s="132">
        <v>1.8174700000000001E-4</v>
      </c>
      <c r="H202" s="133">
        <v>1.9886599999999999E-4</v>
      </c>
      <c r="I202" s="99">
        <v>1.8174700000000001E-4</v>
      </c>
      <c r="J202" s="133">
        <v>1.86319E-4</v>
      </c>
      <c r="K202" s="99">
        <v>1.67431E-4</v>
      </c>
      <c r="L202" s="116">
        <v>1.6749899999999999E-4</v>
      </c>
      <c r="M202" s="2">
        <v>0</v>
      </c>
      <c r="N202" s="2">
        <v>12</v>
      </c>
      <c r="O202" s="2">
        <v>12</v>
      </c>
      <c r="P202" s="126">
        <v>0</v>
      </c>
      <c r="Q202" s="106">
        <v>7</v>
      </c>
      <c r="R202" s="127">
        <v>12</v>
      </c>
      <c r="S202" s="2">
        <v>0</v>
      </c>
      <c r="T202" s="2">
        <v>2</v>
      </c>
      <c r="U202" s="127">
        <v>12</v>
      </c>
      <c r="V202" s="2">
        <v>0</v>
      </c>
      <c r="W202" s="2">
        <v>0</v>
      </c>
      <c r="X202" s="109">
        <v>9</v>
      </c>
    </row>
    <row r="203" spans="2:24" x14ac:dyDescent="0.25">
      <c r="B203">
        <v>20110619</v>
      </c>
      <c r="C203" s="103">
        <v>2811.6</v>
      </c>
      <c r="D203" s="108">
        <v>2777.2</v>
      </c>
      <c r="E203" s="99">
        <v>1.9498200000000001E-4</v>
      </c>
      <c r="F203" s="99">
        <v>2.0191799999999999E-4</v>
      </c>
      <c r="G203" s="132">
        <v>1.9286800000000001E-4</v>
      </c>
      <c r="H203" s="133">
        <v>1.8931300000000001E-4</v>
      </c>
      <c r="I203" s="99">
        <v>1.7618899999999999E-4</v>
      </c>
      <c r="J203" s="133">
        <v>1.7504400000000001E-4</v>
      </c>
      <c r="K203" s="99">
        <v>1.64912E-4</v>
      </c>
      <c r="L203" s="116">
        <v>1.6386499999999999E-4</v>
      </c>
      <c r="M203" s="2">
        <v>0</v>
      </c>
      <c r="N203" s="2">
        <v>8</v>
      </c>
      <c r="O203" s="2">
        <v>17</v>
      </c>
      <c r="P203" s="126">
        <v>1</v>
      </c>
      <c r="Q203" s="106">
        <v>1</v>
      </c>
      <c r="R203" s="127">
        <v>15</v>
      </c>
      <c r="S203" s="2">
        <v>0</v>
      </c>
      <c r="T203" s="2">
        <v>1</v>
      </c>
      <c r="U203" s="127">
        <v>10</v>
      </c>
      <c r="V203" s="2">
        <v>0</v>
      </c>
      <c r="W203" s="2">
        <v>1</v>
      </c>
      <c r="X203" s="109">
        <v>8</v>
      </c>
    </row>
    <row r="204" spans="2:24" x14ac:dyDescent="0.25">
      <c r="B204">
        <v>20110891</v>
      </c>
      <c r="C204" s="103">
        <v>9750.4</v>
      </c>
      <c r="D204" s="108">
        <v>6710.7</v>
      </c>
      <c r="E204" s="99">
        <v>6.5776400000000003E-5</v>
      </c>
      <c r="F204" s="99">
        <v>6.4566600000000006E-5</v>
      </c>
      <c r="G204" s="132">
        <v>3.7731700000000003E-5</v>
      </c>
      <c r="H204" s="133">
        <v>3.2873899999999997E-5</v>
      </c>
      <c r="I204" s="99">
        <v>3.4818799999999999E-5</v>
      </c>
      <c r="J204" s="133">
        <v>3.0117999999999999E-5</v>
      </c>
      <c r="K204" s="99">
        <v>3.2786600000000002E-5</v>
      </c>
      <c r="L204" s="116">
        <v>2.7755799999999999E-5</v>
      </c>
      <c r="M204" s="2">
        <v>0</v>
      </c>
      <c r="N204" s="2">
        <v>14</v>
      </c>
      <c r="O204" s="2">
        <v>25</v>
      </c>
      <c r="P204" s="126">
        <v>0</v>
      </c>
      <c r="Q204" s="106">
        <v>5</v>
      </c>
      <c r="R204" s="127">
        <v>4</v>
      </c>
      <c r="S204" s="2">
        <v>0</v>
      </c>
      <c r="T204" s="2">
        <v>4</v>
      </c>
      <c r="U204" s="127">
        <v>3</v>
      </c>
      <c r="V204" s="2">
        <v>0</v>
      </c>
      <c r="W204" s="2">
        <v>4</v>
      </c>
      <c r="X204" s="109">
        <v>1</v>
      </c>
    </row>
    <row r="205" spans="2:24" x14ac:dyDescent="0.25">
      <c r="B205">
        <v>20111053</v>
      </c>
      <c r="C205" s="103">
        <v>6597.3</v>
      </c>
      <c r="D205" s="108">
        <v>6010.3</v>
      </c>
      <c r="E205" s="99">
        <v>3.9045399999999997E-5</v>
      </c>
      <c r="F205" s="99">
        <v>4.6266000000000001E-5</v>
      </c>
      <c r="G205" s="132">
        <v>8.4097800000000007E-6</v>
      </c>
      <c r="H205" s="133">
        <v>9.0114300000000002E-6</v>
      </c>
      <c r="I205" s="99">
        <v>4.4051200000000001E-6</v>
      </c>
      <c r="J205" s="133">
        <v>3.9562399999999998E-6</v>
      </c>
      <c r="K205" s="99">
        <v>2.9033799999999999E-6</v>
      </c>
      <c r="L205" s="116">
        <v>3.1869700000000002E-6</v>
      </c>
      <c r="M205" s="2">
        <v>0</v>
      </c>
      <c r="N205" s="2">
        <v>10</v>
      </c>
      <c r="O205" s="2">
        <v>23</v>
      </c>
      <c r="P205" s="126">
        <v>0</v>
      </c>
      <c r="Q205" s="106">
        <v>0</v>
      </c>
      <c r="R205" s="127">
        <v>6</v>
      </c>
      <c r="S205" s="2">
        <v>1</v>
      </c>
      <c r="T205" s="2">
        <v>0</v>
      </c>
      <c r="U205" s="127">
        <v>3</v>
      </c>
      <c r="V205" s="2">
        <v>0</v>
      </c>
      <c r="W205" s="2">
        <v>0</v>
      </c>
      <c r="X205" s="109">
        <v>2</v>
      </c>
    </row>
    <row r="206" spans="2:24" x14ac:dyDescent="0.25">
      <c r="B206">
        <v>20111249</v>
      </c>
      <c r="C206" s="103">
        <v>21990.7</v>
      </c>
      <c r="D206" s="108">
        <v>7599.9</v>
      </c>
      <c r="E206" s="99">
        <v>9.9687700000000004E-5</v>
      </c>
      <c r="F206" s="99">
        <v>9.6295800000000001E-5</v>
      </c>
      <c r="G206" s="132">
        <v>8.0404900000000007E-5</v>
      </c>
      <c r="H206" s="133">
        <v>7.7783999999999999E-5</v>
      </c>
      <c r="I206" s="99">
        <v>6.9081599999999999E-5</v>
      </c>
      <c r="J206" s="133">
        <v>6.1271200000000004E-5</v>
      </c>
      <c r="K206" s="99">
        <v>6.4095699999999997E-5</v>
      </c>
      <c r="L206" s="116">
        <v>5.5708999999999998E-5</v>
      </c>
      <c r="M206" s="2">
        <v>1</v>
      </c>
      <c r="N206" s="2">
        <v>1</v>
      </c>
      <c r="O206" s="2">
        <v>24</v>
      </c>
      <c r="P206" s="126">
        <v>0</v>
      </c>
      <c r="Q206" s="106">
        <v>2</v>
      </c>
      <c r="R206" s="127">
        <v>9</v>
      </c>
      <c r="S206" s="2">
        <v>0</v>
      </c>
      <c r="T206" s="2">
        <v>0</v>
      </c>
      <c r="U206" s="127">
        <v>4</v>
      </c>
      <c r="V206" s="2">
        <v>0</v>
      </c>
      <c r="W206" s="2">
        <v>0</v>
      </c>
      <c r="X206" s="109">
        <v>2</v>
      </c>
    </row>
    <row r="207" spans="2:24" x14ac:dyDescent="0.25">
      <c r="B207">
        <v>20111347</v>
      </c>
      <c r="C207" s="103">
        <v>18186.099999999999</v>
      </c>
      <c r="D207" s="108">
        <v>7555.6</v>
      </c>
      <c r="E207" s="99">
        <v>6.3158700000000002E-5</v>
      </c>
      <c r="F207" s="99">
        <v>7.7278000000000001E-5</v>
      </c>
      <c r="G207" s="132">
        <v>1.84137E-5</v>
      </c>
      <c r="H207" s="133">
        <v>2.5001700000000002E-5</v>
      </c>
      <c r="I207" s="99">
        <v>6.1015900000000003E-6</v>
      </c>
      <c r="J207" s="133">
        <v>1.3200199999999999E-5</v>
      </c>
      <c r="K207" s="99">
        <v>1.0895699999999999E-6</v>
      </c>
      <c r="L207" s="116">
        <v>1.03154E-5</v>
      </c>
      <c r="M207" s="2">
        <v>2</v>
      </c>
      <c r="N207" s="2">
        <v>10</v>
      </c>
      <c r="O207" s="2">
        <v>43</v>
      </c>
      <c r="P207" s="126">
        <v>3</v>
      </c>
      <c r="Q207" s="106">
        <v>2</v>
      </c>
      <c r="R207" s="127">
        <v>6</v>
      </c>
      <c r="S207" s="2">
        <v>0</v>
      </c>
      <c r="T207" s="2">
        <v>0</v>
      </c>
      <c r="U207" s="127">
        <v>3</v>
      </c>
      <c r="V207" s="2">
        <v>0</v>
      </c>
      <c r="W207" s="2">
        <v>1</v>
      </c>
      <c r="X207" s="109">
        <v>1</v>
      </c>
    </row>
    <row r="208" spans="2:24" x14ac:dyDescent="0.25">
      <c r="B208">
        <v>20120568</v>
      </c>
      <c r="C208" s="103">
        <v>8944.2999999999993</v>
      </c>
      <c r="D208" s="108">
        <v>6392.3</v>
      </c>
      <c r="E208" s="99">
        <v>5.3907400000000002E-6</v>
      </c>
      <c r="F208" s="99">
        <v>9.7128600000000004E-6</v>
      </c>
      <c r="G208" s="132">
        <v>2.36306E-6</v>
      </c>
      <c r="H208" s="133">
        <v>4.2364599999999998E-6</v>
      </c>
      <c r="I208" s="99">
        <v>2.36306E-6</v>
      </c>
      <c r="J208" s="133">
        <v>4.2364599999999998E-6</v>
      </c>
      <c r="K208" s="101">
        <v>5.9076600000000004E-7</v>
      </c>
      <c r="L208" s="116">
        <v>2.0665699999999998E-6</v>
      </c>
      <c r="M208" s="2">
        <v>1</v>
      </c>
      <c r="N208" s="2">
        <v>7</v>
      </c>
      <c r="O208" s="2">
        <v>6</v>
      </c>
      <c r="P208" s="126">
        <v>0</v>
      </c>
      <c r="Q208" s="106">
        <v>2</v>
      </c>
      <c r="R208" s="127">
        <v>4</v>
      </c>
      <c r="S208" s="2">
        <v>0</v>
      </c>
      <c r="T208" s="2">
        <v>2</v>
      </c>
      <c r="U208" s="127">
        <v>4</v>
      </c>
      <c r="V208" s="2">
        <v>0</v>
      </c>
      <c r="W208" s="2">
        <v>2</v>
      </c>
      <c r="X208" s="109">
        <v>1</v>
      </c>
    </row>
    <row r="209" spans="1:24" x14ac:dyDescent="0.25">
      <c r="B209">
        <v>20121119</v>
      </c>
      <c r="C209" s="103">
        <v>357.2</v>
      </c>
      <c r="D209" s="108">
        <v>353.6</v>
      </c>
      <c r="E209" s="99">
        <v>7.8581500000000004E-4</v>
      </c>
      <c r="F209" s="99">
        <v>8.14472E-4</v>
      </c>
      <c r="G209" s="132">
        <v>7.8581500000000004E-4</v>
      </c>
      <c r="H209" s="133">
        <v>8.14472E-4</v>
      </c>
      <c r="I209" s="99">
        <v>7.8581500000000004E-4</v>
      </c>
      <c r="J209" s="133">
        <v>8.0886800000000002E-4</v>
      </c>
      <c r="K209" s="99">
        <v>7.8581500000000004E-4</v>
      </c>
      <c r="L209" s="116">
        <v>8.0326400000000004E-4</v>
      </c>
      <c r="M209" s="2">
        <v>0</v>
      </c>
      <c r="N209" s="2">
        <v>7</v>
      </c>
      <c r="O209" s="2">
        <v>15</v>
      </c>
      <c r="P209" s="126">
        <v>0</v>
      </c>
      <c r="Q209" s="106">
        <v>7</v>
      </c>
      <c r="R209" s="127">
        <v>15</v>
      </c>
      <c r="S209" s="2">
        <v>0</v>
      </c>
      <c r="T209" s="2">
        <v>6</v>
      </c>
      <c r="U209" s="127">
        <v>15</v>
      </c>
      <c r="V209" s="2">
        <v>0</v>
      </c>
      <c r="W209" s="2">
        <v>5</v>
      </c>
      <c r="X209" s="109">
        <v>15</v>
      </c>
    </row>
    <row r="210" spans="1:24" x14ac:dyDescent="0.25">
      <c r="B210">
        <v>20121257</v>
      </c>
      <c r="C210" s="103">
        <v>488.6</v>
      </c>
      <c r="D210" s="108">
        <v>482.9</v>
      </c>
      <c r="E210" s="99">
        <v>6.7596400000000004E-4</v>
      </c>
      <c r="F210" s="99">
        <v>7.2217400000000001E-4</v>
      </c>
      <c r="G210" s="132">
        <v>6.7596400000000004E-4</v>
      </c>
      <c r="H210" s="133">
        <v>7.2217400000000001E-4</v>
      </c>
      <c r="I210" s="99">
        <v>6.7596400000000004E-4</v>
      </c>
      <c r="J210" s="133">
        <v>7.0986400000000005E-4</v>
      </c>
      <c r="K210" s="99">
        <v>6.6920499999999997E-4</v>
      </c>
      <c r="L210" s="116">
        <v>6.7566999999999996E-4</v>
      </c>
      <c r="M210" s="2">
        <v>0</v>
      </c>
      <c r="N210" s="2">
        <v>11</v>
      </c>
      <c r="O210" s="2">
        <v>14</v>
      </c>
      <c r="P210" s="126">
        <v>0</v>
      </c>
      <c r="Q210" s="106">
        <v>11</v>
      </c>
      <c r="R210" s="127">
        <v>14</v>
      </c>
      <c r="S210" s="2">
        <v>0</v>
      </c>
      <c r="T210" s="2">
        <v>8</v>
      </c>
      <c r="U210" s="127">
        <v>14</v>
      </c>
      <c r="V210" s="2">
        <v>0</v>
      </c>
      <c r="W210" s="2">
        <v>1</v>
      </c>
      <c r="X210" s="109">
        <v>13</v>
      </c>
    </row>
    <row r="211" spans="1:24" x14ac:dyDescent="0.25">
      <c r="C211" s="105"/>
      <c r="D211" s="109"/>
      <c r="E211" s="2"/>
      <c r="F211" s="2"/>
      <c r="G211" s="126"/>
      <c r="H211" s="127"/>
      <c r="I211" s="2"/>
      <c r="J211" s="127"/>
      <c r="K211" s="2"/>
      <c r="L211" s="109"/>
      <c r="M211" s="2"/>
      <c r="N211" s="2"/>
      <c r="O211" s="2"/>
      <c r="P211" s="126"/>
      <c r="Q211" s="106"/>
      <c r="R211" s="127"/>
      <c r="S211" s="2"/>
      <c r="T211" s="2"/>
      <c r="U211" s="127"/>
      <c r="V211" s="2"/>
      <c r="W211" s="2"/>
      <c r="X211" s="109"/>
    </row>
    <row r="212" spans="1:24" x14ac:dyDescent="0.25">
      <c r="A212" t="s">
        <v>1115</v>
      </c>
      <c r="B212">
        <v>20094785</v>
      </c>
      <c r="C212" s="103">
        <v>38525.4</v>
      </c>
      <c r="D212" s="108">
        <v>7648.8</v>
      </c>
      <c r="E212" s="99">
        <v>4.6495900000000003E-5</v>
      </c>
      <c r="F212" s="99">
        <v>5.8666299999999998E-5</v>
      </c>
      <c r="G212" s="132">
        <v>3.6169800000000001E-5</v>
      </c>
      <c r="H212" s="133">
        <v>3.6987299999999997E-5</v>
      </c>
      <c r="I212" s="99">
        <v>2.2445600000000001E-5</v>
      </c>
      <c r="J212" s="133">
        <v>2.2154399999999999E-5</v>
      </c>
      <c r="K212" s="100">
        <v>9.9999999999999995E-7</v>
      </c>
      <c r="L212" s="118">
        <v>9.9999999999999995E-7</v>
      </c>
      <c r="M212" s="2">
        <v>6</v>
      </c>
      <c r="N212" s="2">
        <v>18</v>
      </c>
      <c r="O212" s="2">
        <v>16</v>
      </c>
      <c r="P212" s="126">
        <v>0</v>
      </c>
      <c r="Q212" s="106">
        <v>1</v>
      </c>
      <c r="R212" s="127">
        <v>9</v>
      </c>
      <c r="S212" s="2">
        <v>1</v>
      </c>
      <c r="T212" s="2">
        <v>1</v>
      </c>
      <c r="U212" s="127">
        <v>4</v>
      </c>
      <c r="V212" s="2">
        <v>0</v>
      </c>
      <c r="W212" s="2">
        <v>0</v>
      </c>
      <c r="X212" s="109">
        <v>0</v>
      </c>
    </row>
    <row r="213" spans="1:24" x14ac:dyDescent="0.25">
      <c r="B213">
        <v>20095121</v>
      </c>
      <c r="C213" s="103">
        <v>3739.4</v>
      </c>
      <c r="D213" s="108">
        <v>3706.1</v>
      </c>
      <c r="E213" s="99">
        <v>3.1818599999999998E-4</v>
      </c>
      <c r="F213" s="99">
        <v>3.50482E-4</v>
      </c>
      <c r="G213" s="132">
        <v>3.1429599999999999E-4</v>
      </c>
      <c r="H213" s="133">
        <v>3.1574800000000003E-4</v>
      </c>
      <c r="I213" s="99">
        <v>3.0184899999999998E-4</v>
      </c>
      <c r="J213" s="133">
        <v>3.0338499999999998E-4</v>
      </c>
      <c r="K213" s="99">
        <v>2.9329099999999999E-4</v>
      </c>
      <c r="L213" s="116">
        <v>2.9474999999999998E-4</v>
      </c>
      <c r="M213" s="2">
        <v>0</v>
      </c>
      <c r="N213" s="2">
        <v>26</v>
      </c>
      <c r="O213" s="2">
        <v>15</v>
      </c>
      <c r="P213" s="126">
        <v>0</v>
      </c>
      <c r="Q213" s="106">
        <v>0</v>
      </c>
      <c r="R213" s="127">
        <v>13</v>
      </c>
      <c r="S213" s="2">
        <v>0</v>
      </c>
      <c r="T213" s="2">
        <v>0</v>
      </c>
      <c r="U213" s="127">
        <v>9</v>
      </c>
      <c r="V213" s="2">
        <v>0</v>
      </c>
      <c r="W213" s="2">
        <v>0</v>
      </c>
      <c r="X213" s="109">
        <v>6</v>
      </c>
    </row>
    <row r="214" spans="1:24" x14ac:dyDescent="0.25">
      <c r="B214">
        <v>20095236</v>
      </c>
      <c r="C214" s="103">
        <v>6145.7</v>
      </c>
      <c r="D214" s="108">
        <v>5650.5</v>
      </c>
      <c r="E214" s="99">
        <v>2.91112E-4</v>
      </c>
      <c r="F214" s="99">
        <v>3.1546699999999999E-4</v>
      </c>
      <c r="G214" s="132">
        <v>2.4318500000000001E-4</v>
      </c>
      <c r="H214" s="133">
        <v>2.40172E-4</v>
      </c>
      <c r="I214" s="99">
        <v>2.2768199999999999E-4</v>
      </c>
      <c r="J214" s="133">
        <v>2.24083E-4</v>
      </c>
      <c r="K214" s="99">
        <v>2.2294900000000001E-4</v>
      </c>
      <c r="L214" s="116">
        <v>2.19192E-4</v>
      </c>
      <c r="M214" s="2">
        <v>1</v>
      </c>
      <c r="N214" s="2">
        <v>34</v>
      </c>
      <c r="O214" s="2">
        <v>41</v>
      </c>
      <c r="P214" s="126">
        <v>0</v>
      </c>
      <c r="Q214" s="106">
        <v>1</v>
      </c>
      <c r="R214" s="127">
        <v>14</v>
      </c>
      <c r="S214" s="2">
        <v>0</v>
      </c>
      <c r="T214" s="2">
        <v>1</v>
      </c>
      <c r="U214" s="127">
        <v>7</v>
      </c>
      <c r="V214" s="2">
        <v>0</v>
      </c>
      <c r="W214" s="2">
        <v>1</v>
      </c>
      <c r="X214" s="109">
        <v>6</v>
      </c>
    </row>
    <row r="215" spans="1:24" x14ac:dyDescent="0.25">
      <c r="B215">
        <v>20095267</v>
      </c>
      <c r="C215" s="103">
        <v>4470.6000000000004</v>
      </c>
      <c r="D215" s="108">
        <v>4420.7</v>
      </c>
      <c r="E215" s="99">
        <v>3.2665999999999999E-4</v>
      </c>
      <c r="F215" s="99">
        <v>3.6407399999999998E-4</v>
      </c>
      <c r="G215" s="132">
        <v>3.1039199999999999E-4</v>
      </c>
      <c r="H215" s="133">
        <v>3.0896100000000001E-4</v>
      </c>
      <c r="I215" s="99">
        <v>2.9770300000000002E-4</v>
      </c>
      <c r="J215" s="133">
        <v>2.9892599999999998E-4</v>
      </c>
      <c r="K215" s="99">
        <v>2.92823E-4</v>
      </c>
      <c r="L215" s="116">
        <v>2.9415499999999999E-4</v>
      </c>
      <c r="M215" s="2">
        <v>0</v>
      </c>
      <c r="N215" s="2">
        <v>36</v>
      </c>
      <c r="O215" s="2">
        <v>29</v>
      </c>
      <c r="P215" s="126">
        <v>2</v>
      </c>
      <c r="Q215" s="106">
        <v>1</v>
      </c>
      <c r="R215" s="127">
        <v>19</v>
      </c>
      <c r="S215" s="2">
        <v>0</v>
      </c>
      <c r="T215" s="2">
        <v>0</v>
      </c>
      <c r="U215" s="127">
        <v>14</v>
      </c>
      <c r="V215" s="2">
        <v>0</v>
      </c>
      <c r="W215" s="2">
        <v>0</v>
      </c>
      <c r="X215" s="109">
        <v>12</v>
      </c>
    </row>
    <row r="216" spans="1:24" x14ac:dyDescent="0.25">
      <c r="B216">
        <v>20095383</v>
      </c>
      <c r="C216" s="103">
        <v>24818</v>
      </c>
      <c r="D216" s="108">
        <v>7572.4</v>
      </c>
      <c r="E216" s="99">
        <v>8.3370500000000004E-5</v>
      </c>
      <c r="F216" s="99">
        <v>8.6438400000000002E-5</v>
      </c>
      <c r="G216" s="132">
        <v>6.2007699999999999E-5</v>
      </c>
      <c r="H216" s="133">
        <v>6.6941799999999997E-5</v>
      </c>
      <c r="I216" s="99">
        <v>5.5590100000000002E-5</v>
      </c>
      <c r="J216" s="133">
        <v>5.8393999999999997E-5</v>
      </c>
      <c r="K216" s="99">
        <v>5.5590100000000002E-5</v>
      </c>
      <c r="L216" s="116">
        <v>5.3591799999999997E-5</v>
      </c>
      <c r="M216" s="2">
        <v>4</v>
      </c>
      <c r="N216" s="2">
        <v>5</v>
      </c>
      <c r="O216" s="2">
        <v>18</v>
      </c>
      <c r="P216" s="126">
        <v>1</v>
      </c>
      <c r="Q216" s="106">
        <v>3</v>
      </c>
      <c r="R216" s="127">
        <v>2</v>
      </c>
      <c r="S216" s="2">
        <v>0</v>
      </c>
      <c r="T216" s="2">
        <v>1</v>
      </c>
      <c r="U216" s="127">
        <v>1</v>
      </c>
      <c r="V216" s="2">
        <v>0</v>
      </c>
      <c r="W216" s="2">
        <v>0</v>
      </c>
      <c r="X216" s="109">
        <v>1</v>
      </c>
    </row>
    <row r="217" spans="1:24" x14ac:dyDescent="0.25">
      <c r="B217">
        <v>20095452</v>
      </c>
      <c r="C217" s="103">
        <v>384.3</v>
      </c>
      <c r="D217" s="108">
        <v>381.5</v>
      </c>
      <c r="E217" s="99">
        <v>2.1005199999999999E-4</v>
      </c>
      <c r="F217" s="99">
        <v>2.4018299999999999E-4</v>
      </c>
      <c r="G217" s="132">
        <v>2.1005199999999999E-4</v>
      </c>
      <c r="H217" s="133">
        <v>2.4018299999999999E-4</v>
      </c>
      <c r="I217" s="99">
        <v>2.1005199999999999E-4</v>
      </c>
      <c r="J217" s="133">
        <v>2.4018299999999999E-4</v>
      </c>
      <c r="K217" s="99">
        <v>2.0248299999999999E-4</v>
      </c>
      <c r="L217" s="116">
        <v>2.02058E-4</v>
      </c>
      <c r="M217" s="2">
        <v>0</v>
      </c>
      <c r="N217" s="2">
        <v>5</v>
      </c>
      <c r="O217" s="2">
        <v>8</v>
      </c>
      <c r="P217" s="126">
        <v>0</v>
      </c>
      <c r="Q217" s="106">
        <v>5</v>
      </c>
      <c r="R217" s="127">
        <v>8</v>
      </c>
      <c r="S217" s="2">
        <v>0</v>
      </c>
      <c r="T217" s="2">
        <v>5</v>
      </c>
      <c r="U217" s="127">
        <v>8</v>
      </c>
      <c r="V217" s="2">
        <v>0</v>
      </c>
      <c r="W217" s="2">
        <v>0</v>
      </c>
      <c r="X217" s="109">
        <v>7</v>
      </c>
    </row>
    <row r="218" spans="1:24" x14ac:dyDescent="0.25">
      <c r="B218">
        <v>20095501</v>
      </c>
      <c r="C218" s="103">
        <v>48731.3</v>
      </c>
      <c r="D218" s="108">
        <v>7706</v>
      </c>
      <c r="E218" s="99">
        <v>1.1521399999999999E-5</v>
      </c>
      <c r="F218" s="99">
        <v>1.14196E-5</v>
      </c>
      <c r="G218" s="134">
        <v>9.9999999999999995E-7</v>
      </c>
      <c r="H218" s="135">
        <v>9.9999999999999995E-7</v>
      </c>
      <c r="I218" s="100">
        <v>9.9999999999999995E-7</v>
      </c>
      <c r="J218" s="135">
        <v>9.9999999999999995E-7</v>
      </c>
      <c r="K218" s="100">
        <v>9.9999999999999995E-7</v>
      </c>
      <c r="L218" s="118">
        <v>9.9999999999999995E-7</v>
      </c>
      <c r="M218" s="2">
        <v>18</v>
      </c>
      <c r="N218" s="2">
        <v>8</v>
      </c>
      <c r="O218" s="2">
        <v>5</v>
      </c>
      <c r="P218" s="126">
        <v>0</v>
      </c>
      <c r="Q218" s="106">
        <v>0</v>
      </c>
      <c r="R218" s="127">
        <v>0</v>
      </c>
      <c r="S218" s="2">
        <v>0</v>
      </c>
      <c r="T218" s="2">
        <v>0</v>
      </c>
      <c r="U218" s="127">
        <v>0</v>
      </c>
      <c r="V218" s="2">
        <v>0</v>
      </c>
      <c r="W218" s="2">
        <v>0</v>
      </c>
      <c r="X218" s="109">
        <v>0</v>
      </c>
    </row>
    <row r="219" spans="1:24" x14ac:dyDescent="0.25">
      <c r="B219">
        <v>20095509</v>
      </c>
      <c r="C219" s="103">
        <v>59892.6</v>
      </c>
      <c r="D219" s="108">
        <v>7713.1</v>
      </c>
      <c r="E219" s="99">
        <v>1.5993499999999999E-4</v>
      </c>
      <c r="F219" s="99">
        <v>1.3709900000000001E-4</v>
      </c>
      <c r="G219" s="132">
        <v>1.16196E-4</v>
      </c>
      <c r="H219" s="133">
        <v>1.024E-4</v>
      </c>
      <c r="I219" s="99">
        <v>1.13427E-4</v>
      </c>
      <c r="J219" s="133">
        <v>1.00043E-4</v>
      </c>
      <c r="K219" s="99">
        <v>1.0326400000000001E-4</v>
      </c>
      <c r="L219" s="116">
        <v>1.00043E-4</v>
      </c>
      <c r="M219" s="2">
        <v>23</v>
      </c>
      <c r="N219" s="2">
        <v>5</v>
      </c>
      <c r="O219" s="2">
        <v>34</v>
      </c>
      <c r="P219" s="126">
        <v>0</v>
      </c>
      <c r="Q219" s="106">
        <v>0</v>
      </c>
      <c r="R219" s="127">
        <v>4</v>
      </c>
      <c r="S219" s="2">
        <v>0</v>
      </c>
      <c r="T219" s="2">
        <v>0</v>
      </c>
      <c r="U219" s="127">
        <v>3</v>
      </c>
      <c r="V219" s="2">
        <v>0</v>
      </c>
      <c r="W219" s="2">
        <v>1</v>
      </c>
      <c r="X219" s="109">
        <v>2</v>
      </c>
    </row>
    <row r="220" spans="1:24" x14ac:dyDescent="0.25">
      <c r="B220">
        <v>20095510</v>
      </c>
      <c r="C220" s="103">
        <v>749.3</v>
      </c>
      <c r="D220" s="108">
        <v>740</v>
      </c>
      <c r="E220" s="99">
        <v>1.08318E-3</v>
      </c>
      <c r="F220" s="99">
        <v>1.11542E-3</v>
      </c>
      <c r="G220" s="132">
        <v>1.08318E-3</v>
      </c>
      <c r="H220" s="133">
        <v>1.11247E-3</v>
      </c>
      <c r="I220" s="99">
        <v>1.08318E-3</v>
      </c>
      <c r="J220" s="133">
        <v>1.0977300000000001E-3</v>
      </c>
      <c r="K220" s="99">
        <v>1.0608499999999999E-3</v>
      </c>
      <c r="L220" s="116">
        <v>1.06628E-3</v>
      </c>
      <c r="M220" s="2">
        <v>0</v>
      </c>
      <c r="N220" s="2">
        <v>8</v>
      </c>
      <c r="O220" s="2">
        <v>13</v>
      </c>
      <c r="P220" s="126">
        <v>0</v>
      </c>
      <c r="Q220" s="106">
        <v>7</v>
      </c>
      <c r="R220" s="127">
        <v>13</v>
      </c>
      <c r="S220" s="2">
        <v>0</v>
      </c>
      <c r="T220" s="2">
        <v>3</v>
      </c>
      <c r="U220" s="127">
        <v>13</v>
      </c>
      <c r="V220" s="2">
        <v>0</v>
      </c>
      <c r="W220" s="2">
        <v>1</v>
      </c>
      <c r="X220" s="109">
        <v>10</v>
      </c>
    </row>
    <row r="221" spans="1:24" x14ac:dyDescent="0.25">
      <c r="B221">
        <v>20096069</v>
      </c>
      <c r="C221" s="103">
        <v>2669.2</v>
      </c>
      <c r="D221" s="108">
        <v>2645.3</v>
      </c>
      <c r="E221" s="99">
        <v>8.5828900000000001E-5</v>
      </c>
      <c r="F221" s="99">
        <v>1.16845E-4</v>
      </c>
      <c r="G221" s="132">
        <v>8.0924400000000001E-5</v>
      </c>
      <c r="H221" s="133">
        <v>8.7977200000000002E-5</v>
      </c>
      <c r="I221" s="99">
        <v>7.3840100000000005E-5</v>
      </c>
      <c r="J221" s="133">
        <v>7.4230699999999994E-5</v>
      </c>
      <c r="K221" s="99">
        <v>4.7955199999999998E-5</v>
      </c>
      <c r="L221" s="116">
        <v>4.7562699999999998E-5</v>
      </c>
      <c r="M221" s="2">
        <v>0</v>
      </c>
      <c r="N221" s="2">
        <v>24</v>
      </c>
      <c r="O221" s="2">
        <v>14</v>
      </c>
      <c r="P221" s="126">
        <v>0</v>
      </c>
      <c r="Q221" s="106">
        <v>7</v>
      </c>
      <c r="R221" s="127">
        <v>12</v>
      </c>
      <c r="S221" s="2">
        <v>1</v>
      </c>
      <c r="T221" s="2">
        <v>3</v>
      </c>
      <c r="U221" s="127">
        <v>8</v>
      </c>
      <c r="V221" s="2">
        <v>0</v>
      </c>
      <c r="W221" s="2">
        <v>0</v>
      </c>
      <c r="X221" s="109">
        <v>3</v>
      </c>
    </row>
    <row r="222" spans="1:24" x14ac:dyDescent="0.25">
      <c r="B222">
        <v>20096074</v>
      </c>
      <c r="C222" s="103">
        <v>27268.1</v>
      </c>
      <c r="D222" s="108">
        <v>7589.6</v>
      </c>
      <c r="E222" s="99">
        <v>1.36716E-4</v>
      </c>
      <c r="F222" s="99">
        <v>1.34826E-4</v>
      </c>
      <c r="G222" s="132">
        <v>1.2207400000000001E-4</v>
      </c>
      <c r="H222" s="133">
        <v>1.21889E-4</v>
      </c>
      <c r="I222" s="99">
        <v>1.2207400000000001E-4</v>
      </c>
      <c r="J222" s="133">
        <v>1.21889E-4</v>
      </c>
      <c r="K222" s="99">
        <v>1.15806E-4</v>
      </c>
      <c r="L222" s="116">
        <v>1.17865E-4</v>
      </c>
      <c r="M222" s="2">
        <v>7</v>
      </c>
      <c r="N222" s="2">
        <v>4</v>
      </c>
      <c r="O222" s="2">
        <v>16</v>
      </c>
      <c r="P222" s="126">
        <v>0</v>
      </c>
      <c r="Q222" s="106">
        <v>0</v>
      </c>
      <c r="R222" s="127">
        <v>6</v>
      </c>
      <c r="S222" s="2">
        <v>0</v>
      </c>
      <c r="T222" s="2">
        <v>0</v>
      </c>
      <c r="U222" s="127">
        <v>6</v>
      </c>
      <c r="V222" s="2">
        <v>0</v>
      </c>
      <c r="W222" s="2">
        <v>0</v>
      </c>
      <c r="X222" s="109">
        <v>5</v>
      </c>
    </row>
    <row r="223" spans="1:24" x14ac:dyDescent="0.25">
      <c r="B223">
        <v>20097208</v>
      </c>
      <c r="C223" s="103">
        <v>44889.599999999999</v>
      </c>
      <c r="D223" s="108">
        <v>7710.9</v>
      </c>
      <c r="E223" s="99">
        <v>3.8040799999999997E-5</v>
      </c>
      <c r="F223" s="99">
        <v>3.0370099999999999E-5</v>
      </c>
      <c r="G223" s="132">
        <v>3.2483700000000002E-5</v>
      </c>
      <c r="H223" s="133">
        <v>2.7729199999999999E-5</v>
      </c>
      <c r="I223" s="99">
        <v>2.82876E-5</v>
      </c>
      <c r="J223" s="133">
        <v>1.8108899999999999E-5</v>
      </c>
      <c r="K223" s="99">
        <v>1.79997E-5</v>
      </c>
      <c r="L223" s="116">
        <v>1.8108899999999999E-5</v>
      </c>
      <c r="M223" s="2">
        <v>7</v>
      </c>
      <c r="N223" s="2">
        <v>1</v>
      </c>
      <c r="O223" s="2">
        <v>7</v>
      </c>
      <c r="P223" s="126">
        <v>0</v>
      </c>
      <c r="Q223" s="106">
        <v>0</v>
      </c>
      <c r="R223" s="127">
        <v>5</v>
      </c>
      <c r="S223" s="2">
        <v>2</v>
      </c>
      <c r="T223" s="2">
        <v>0</v>
      </c>
      <c r="U223" s="127">
        <v>2</v>
      </c>
      <c r="V223" s="2">
        <v>0</v>
      </c>
      <c r="W223" s="2">
        <v>0</v>
      </c>
      <c r="X223" s="109">
        <v>2</v>
      </c>
    </row>
    <row r="224" spans="1:24" x14ac:dyDescent="0.25">
      <c r="B224">
        <v>20097214</v>
      </c>
      <c r="C224" s="103">
        <v>31142.799999999999</v>
      </c>
      <c r="D224" s="108">
        <v>7640.8</v>
      </c>
      <c r="E224" s="99">
        <v>7.3281099999999999E-5</v>
      </c>
      <c r="F224" s="99">
        <v>8.2428000000000004E-5</v>
      </c>
      <c r="G224" s="132">
        <v>4.63553E-5</v>
      </c>
      <c r="H224" s="133">
        <v>5.7395000000000002E-5</v>
      </c>
      <c r="I224" s="100">
        <v>9.9999999999999995E-7</v>
      </c>
      <c r="J224" s="133">
        <v>4.1880299999999999E-6</v>
      </c>
      <c r="K224" s="100">
        <v>9.9999999999999995E-7</v>
      </c>
      <c r="L224" s="118">
        <v>9.9999999999999995E-7</v>
      </c>
      <c r="M224" s="2">
        <v>5</v>
      </c>
      <c r="N224" s="2">
        <v>7</v>
      </c>
      <c r="O224" s="2">
        <v>33</v>
      </c>
      <c r="P224" s="126">
        <v>2</v>
      </c>
      <c r="Q224" s="106">
        <v>5</v>
      </c>
      <c r="R224" s="127">
        <v>16</v>
      </c>
      <c r="S224" s="2">
        <v>0</v>
      </c>
      <c r="T224" s="2">
        <v>1</v>
      </c>
      <c r="U224" s="127">
        <v>0</v>
      </c>
      <c r="V224" s="2">
        <v>0</v>
      </c>
      <c r="W224" s="2">
        <v>0</v>
      </c>
      <c r="X224" s="109">
        <v>0</v>
      </c>
    </row>
    <row r="225" spans="2:24" x14ac:dyDescent="0.25">
      <c r="B225">
        <v>20097575</v>
      </c>
      <c r="C225" s="103">
        <v>21006.400000000001</v>
      </c>
      <c r="D225" s="108">
        <v>7008.4</v>
      </c>
      <c r="E225" s="99">
        <v>1.16536E-4</v>
      </c>
      <c r="F225" s="99">
        <v>1.2815799999999999E-4</v>
      </c>
      <c r="G225" s="132">
        <v>8.4199399999999999E-5</v>
      </c>
      <c r="H225" s="133">
        <v>8.8621099999999998E-5</v>
      </c>
      <c r="I225" s="99">
        <v>7.3639899999999999E-5</v>
      </c>
      <c r="J225" s="133">
        <v>8.11495E-5</v>
      </c>
      <c r="K225" s="99">
        <v>1.5648899999999999E-5</v>
      </c>
      <c r="L225" s="116">
        <v>1.5980900000000001E-5</v>
      </c>
      <c r="M225" s="2">
        <v>15</v>
      </c>
      <c r="N225" s="2">
        <v>20</v>
      </c>
      <c r="O225" s="2">
        <v>39</v>
      </c>
      <c r="P225" s="126">
        <v>1</v>
      </c>
      <c r="Q225" s="106">
        <v>0</v>
      </c>
      <c r="R225" s="127">
        <v>17</v>
      </c>
      <c r="S225" s="2">
        <v>0</v>
      </c>
      <c r="T225" s="2">
        <v>1</v>
      </c>
      <c r="U225" s="127">
        <v>13</v>
      </c>
      <c r="V225" s="2">
        <v>0</v>
      </c>
      <c r="W225" s="2">
        <v>0</v>
      </c>
      <c r="X225" s="109">
        <v>1</v>
      </c>
    </row>
    <row r="226" spans="2:24" x14ac:dyDescent="0.25">
      <c r="B226">
        <v>20097608</v>
      </c>
      <c r="C226" s="103">
        <v>22018.400000000001</v>
      </c>
      <c r="D226" s="108">
        <v>7589.5</v>
      </c>
      <c r="E226" s="99">
        <v>3.8315100000000002E-5</v>
      </c>
      <c r="F226" s="99">
        <v>3.7180400000000001E-5</v>
      </c>
      <c r="G226" s="134">
        <v>9.9999999999999995E-7</v>
      </c>
      <c r="H226" s="135">
        <v>9.9999999999999995E-7</v>
      </c>
      <c r="I226" s="100">
        <v>9.9999999999999995E-7</v>
      </c>
      <c r="J226" s="135">
        <v>9.9999999999999995E-7</v>
      </c>
      <c r="K226" s="100">
        <v>9.9999999999999995E-7</v>
      </c>
      <c r="L226" s="118">
        <v>9.9999999999999995E-7</v>
      </c>
      <c r="M226" s="2">
        <v>2</v>
      </c>
      <c r="N226" s="2">
        <v>3</v>
      </c>
      <c r="O226" s="2">
        <v>30</v>
      </c>
      <c r="P226" s="126">
        <v>0</v>
      </c>
      <c r="Q226" s="106">
        <v>0</v>
      </c>
      <c r="R226" s="127">
        <v>0</v>
      </c>
      <c r="S226" s="2">
        <v>0</v>
      </c>
      <c r="T226" s="2">
        <v>0</v>
      </c>
      <c r="U226" s="127">
        <v>0</v>
      </c>
      <c r="V226" s="2">
        <v>0</v>
      </c>
      <c r="W226" s="2">
        <v>0</v>
      </c>
      <c r="X226" s="109">
        <v>0</v>
      </c>
    </row>
    <row r="227" spans="2:24" x14ac:dyDescent="0.25">
      <c r="B227">
        <v>20097639</v>
      </c>
      <c r="C227" s="103">
        <v>23077.200000000001</v>
      </c>
      <c r="D227" s="108">
        <v>7558.9</v>
      </c>
      <c r="E227" s="99">
        <v>3.7502600000000001E-6</v>
      </c>
      <c r="F227" s="99">
        <v>4.0409700000000004E-6</v>
      </c>
      <c r="G227" s="134">
        <v>9.9999999999999995E-7</v>
      </c>
      <c r="H227" s="135">
        <v>9.9999999999999995E-7</v>
      </c>
      <c r="I227" s="100">
        <v>9.9999999999999995E-7</v>
      </c>
      <c r="J227" s="135">
        <v>9.9999999999999995E-7</v>
      </c>
      <c r="K227" s="100">
        <v>9.9999999999999995E-7</v>
      </c>
      <c r="L227" s="118">
        <v>9.9999999999999995E-7</v>
      </c>
      <c r="M227" s="2">
        <v>4</v>
      </c>
      <c r="N227" s="2">
        <v>3</v>
      </c>
      <c r="O227" s="2">
        <v>1</v>
      </c>
      <c r="P227" s="126">
        <v>0</v>
      </c>
      <c r="Q227" s="106">
        <v>0</v>
      </c>
      <c r="R227" s="127">
        <v>0</v>
      </c>
      <c r="S227" s="2">
        <v>0</v>
      </c>
      <c r="T227" s="2">
        <v>0</v>
      </c>
      <c r="U227" s="127">
        <v>0</v>
      </c>
      <c r="V227" s="2">
        <v>0</v>
      </c>
      <c r="W227" s="2">
        <v>0</v>
      </c>
      <c r="X227" s="109">
        <v>0</v>
      </c>
    </row>
    <row r="228" spans="2:24" x14ac:dyDescent="0.25">
      <c r="B228">
        <v>20097661</v>
      </c>
      <c r="C228" s="103">
        <v>1564.9</v>
      </c>
      <c r="D228" s="108">
        <v>1548.3</v>
      </c>
      <c r="E228" s="99">
        <v>4.7402599999999999E-5</v>
      </c>
      <c r="F228" s="99">
        <v>6.9987999999999995E-5</v>
      </c>
      <c r="G228" s="132">
        <v>4.7402599999999999E-5</v>
      </c>
      <c r="H228" s="133">
        <v>5.3078100000000003E-5</v>
      </c>
      <c r="I228" s="99">
        <v>3.7643199999999999E-5</v>
      </c>
      <c r="J228" s="133">
        <v>4.3683799999999997E-5</v>
      </c>
      <c r="K228" s="99">
        <v>3.1601699999999999E-5</v>
      </c>
      <c r="L228" s="116">
        <v>3.2880299999999998E-5</v>
      </c>
      <c r="M228" s="2">
        <v>0</v>
      </c>
      <c r="N228" s="2">
        <v>11</v>
      </c>
      <c r="O228" s="2">
        <v>7</v>
      </c>
      <c r="P228" s="126">
        <v>0</v>
      </c>
      <c r="Q228" s="106">
        <v>3</v>
      </c>
      <c r="R228" s="127">
        <v>7</v>
      </c>
      <c r="S228" s="2">
        <v>0</v>
      </c>
      <c r="T228" s="2">
        <v>2</v>
      </c>
      <c r="U228" s="127">
        <v>5</v>
      </c>
      <c r="V228" s="2">
        <v>0</v>
      </c>
      <c r="W228" s="2">
        <v>1</v>
      </c>
      <c r="X228" s="109">
        <v>4</v>
      </c>
    </row>
    <row r="229" spans="2:24" x14ac:dyDescent="0.25">
      <c r="B229">
        <v>20100450</v>
      </c>
      <c r="C229" s="103">
        <v>1015.1</v>
      </c>
      <c r="D229" s="108">
        <v>1008.4</v>
      </c>
      <c r="E229" s="99">
        <v>8.6692600000000004E-5</v>
      </c>
      <c r="F229" s="99">
        <v>1.13956E-4</v>
      </c>
      <c r="G229" s="132">
        <v>8.6692600000000004E-5</v>
      </c>
      <c r="H229" s="133">
        <v>1.1107099999999999E-4</v>
      </c>
      <c r="I229" s="99">
        <v>8.6692600000000004E-5</v>
      </c>
      <c r="J229" s="133">
        <v>8.6548500000000007E-5</v>
      </c>
      <c r="K229" s="99">
        <v>6.8780899999999997E-5</v>
      </c>
      <c r="L229" s="116">
        <v>6.8517599999999996E-5</v>
      </c>
      <c r="M229" s="2">
        <v>0</v>
      </c>
      <c r="N229" s="2">
        <v>10</v>
      </c>
      <c r="O229" s="2">
        <v>8</v>
      </c>
      <c r="P229" s="126">
        <v>0</v>
      </c>
      <c r="Q229" s="106">
        <v>9</v>
      </c>
      <c r="R229" s="127">
        <v>8</v>
      </c>
      <c r="S229" s="2">
        <v>0</v>
      </c>
      <c r="T229" s="2">
        <v>1</v>
      </c>
      <c r="U229" s="127">
        <v>8</v>
      </c>
      <c r="V229" s="2">
        <v>0</v>
      </c>
      <c r="W229" s="2">
        <v>1</v>
      </c>
      <c r="X229" s="109">
        <v>4</v>
      </c>
    </row>
    <row r="230" spans="2:24" x14ac:dyDescent="0.25">
      <c r="B230">
        <v>20101450</v>
      </c>
      <c r="C230" s="103">
        <v>397.4</v>
      </c>
      <c r="D230" s="108">
        <v>395.8</v>
      </c>
      <c r="E230" s="99">
        <v>7.8700099999999995E-5</v>
      </c>
      <c r="F230" s="99">
        <v>9.3717300000000005E-5</v>
      </c>
      <c r="G230" s="132">
        <v>7.8700099999999995E-5</v>
      </c>
      <c r="H230" s="133">
        <v>9.3717300000000005E-5</v>
      </c>
      <c r="I230" s="99">
        <v>7.8700099999999995E-5</v>
      </c>
      <c r="J230" s="133">
        <v>8.8204500000000006E-5</v>
      </c>
      <c r="K230" s="99">
        <v>6.5888499999999998E-5</v>
      </c>
      <c r="L230" s="116">
        <v>7.1666099999999995E-5</v>
      </c>
      <c r="M230" s="2">
        <v>0</v>
      </c>
      <c r="N230" s="2">
        <v>3</v>
      </c>
      <c r="O230" s="2">
        <v>3</v>
      </c>
      <c r="P230" s="126">
        <v>0</v>
      </c>
      <c r="Q230" s="106">
        <v>3</v>
      </c>
      <c r="R230" s="127">
        <v>3</v>
      </c>
      <c r="S230" s="2">
        <v>0</v>
      </c>
      <c r="T230" s="2">
        <v>2</v>
      </c>
      <c r="U230" s="127">
        <v>3</v>
      </c>
      <c r="V230" s="2">
        <v>0</v>
      </c>
      <c r="W230" s="2">
        <v>1</v>
      </c>
      <c r="X230" s="109">
        <v>2</v>
      </c>
    </row>
    <row r="231" spans="2:24" x14ac:dyDescent="0.25">
      <c r="B231">
        <v>20101466</v>
      </c>
      <c r="C231" s="103">
        <v>1805.5</v>
      </c>
      <c r="D231" s="108">
        <v>1800</v>
      </c>
      <c r="E231" s="99">
        <v>5.05515E-4</v>
      </c>
      <c r="F231" s="99">
        <v>5.3293000000000004E-4</v>
      </c>
      <c r="G231" s="132">
        <v>5.05515E-4</v>
      </c>
      <c r="H231" s="133">
        <v>5.1030300000000004E-4</v>
      </c>
      <c r="I231" s="99">
        <v>4.8537500000000002E-4</v>
      </c>
      <c r="J231" s="133">
        <v>4.8484899999999998E-4</v>
      </c>
      <c r="K231" s="99">
        <v>4.2696900000000002E-4</v>
      </c>
      <c r="L231" s="116">
        <v>4.2424299999999998E-4</v>
      </c>
      <c r="M231" s="2">
        <v>0</v>
      </c>
      <c r="N231" s="2">
        <v>17</v>
      </c>
      <c r="O231" s="2">
        <v>26</v>
      </c>
      <c r="P231" s="126">
        <v>1</v>
      </c>
      <c r="Q231" s="106">
        <v>6</v>
      </c>
      <c r="R231" s="127">
        <v>25</v>
      </c>
      <c r="S231" s="2">
        <v>0</v>
      </c>
      <c r="T231" s="2">
        <v>3</v>
      </c>
      <c r="U231" s="127">
        <v>20</v>
      </c>
      <c r="V231" s="2">
        <v>0</v>
      </c>
      <c r="W231" s="2">
        <v>0</v>
      </c>
      <c r="X231" s="109">
        <v>9</v>
      </c>
    </row>
    <row r="232" spans="2:24" x14ac:dyDescent="0.25">
      <c r="B232">
        <v>20101910</v>
      </c>
      <c r="C232" s="103">
        <v>1499.7</v>
      </c>
      <c r="D232" s="108">
        <v>1488.9</v>
      </c>
      <c r="E232" s="99">
        <v>8.40879E-4</v>
      </c>
      <c r="F232" s="99">
        <v>8.5922400000000001E-4</v>
      </c>
      <c r="G232" s="132">
        <v>8.3748500000000001E-4</v>
      </c>
      <c r="H232" s="133">
        <v>8.4456899999999998E-4</v>
      </c>
      <c r="I232" s="99">
        <v>8.1663299999999999E-4</v>
      </c>
      <c r="J232" s="133">
        <v>8.1721500000000004E-4</v>
      </c>
      <c r="K232" s="99">
        <v>7.5213600000000004E-4</v>
      </c>
      <c r="L232" s="116">
        <v>7.49806E-4</v>
      </c>
      <c r="M232" s="2">
        <v>0</v>
      </c>
      <c r="N232" s="2">
        <v>14</v>
      </c>
      <c r="O232" s="2">
        <v>45</v>
      </c>
      <c r="P232" s="126">
        <v>0</v>
      </c>
      <c r="Q232" s="106">
        <v>9</v>
      </c>
      <c r="R232" s="127">
        <v>44</v>
      </c>
      <c r="S232" s="2">
        <v>0</v>
      </c>
      <c r="T232" s="2">
        <v>5</v>
      </c>
      <c r="U232" s="127">
        <v>39</v>
      </c>
      <c r="V232" s="2">
        <v>0</v>
      </c>
      <c r="W232" s="2">
        <v>1</v>
      </c>
      <c r="X232" s="109">
        <v>26</v>
      </c>
    </row>
    <row r="233" spans="2:24" x14ac:dyDescent="0.25">
      <c r="B233">
        <v>20102111</v>
      </c>
      <c r="C233" s="103">
        <v>1044.2</v>
      </c>
      <c r="D233" s="108">
        <v>1031.9000000000001</v>
      </c>
      <c r="E233" s="99">
        <v>6.0664400000000004E-4</v>
      </c>
      <c r="F233" s="99">
        <v>6.3573799999999995E-4</v>
      </c>
      <c r="G233" s="132">
        <v>6.0664400000000004E-4</v>
      </c>
      <c r="H233" s="133">
        <v>6.3150900000000004E-4</v>
      </c>
      <c r="I233" s="99">
        <v>6.0246500000000005E-4</v>
      </c>
      <c r="J233" s="133">
        <v>6.1036499999999997E-4</v>
      </c>
      <c r="K233" s="99">
        <v>5.3560100000000002E-4</v>
      </c>
      <c r="L233" s="116">
        <v>5.3565500000000001E-4</v>
      </c>
      <c r="M233" s="2">
        <v>0</v>
      </c>
      <c r="N233" s="2">
        <v>14</v>
      </c>
      <c r="O233" s="2">
        <v>37</v>
      </c>
      <c r="P233" s="126">
        <v>0</v>
      </c>
      <c r="Q233" s="106">
        <v>12</v>
      </c>
      <c r="R233" s="127">
        <v>37</v>
      </c>
      <c r="S233" s="2">
        <v>1</v>
      </c>
      <c r="T233" s="2">
        <v>7</v>
      </c>
      <c r="U233" s="127">
        <v>35</v>
      </c>
      <c r="V233" s="2">
        <v>0</v>
      </c>
      <c r="W233" s="2">
        <v>1</v>
      </c>
      <c r="X233" s="109">
        <v>26</v>
      </c>
    </row>
    <row r="234" spans="2:24" x14ac:dyDescent="0.25">
      <c r="B234">
        <v>20102207</v>
      </c>
      <c r="C234" s="103">
        <v>3739.8</v>
      </c>
      <c r="D234" s="108">
        <v>3707.4</v>
      </c>
      <c r="E234" s="99">
        <v>3.2962399999999999E-4</v>
      </c>
      <c r="F234" s="99">
        <v>3.4603599999999998E-4</v>
      </c>
      <c r="G234" s="132">
        <v>3.2962399999999999E-4</v>
      </c>
      <c r="H234" s="133">
        <v>3.2838099999999999E-4</v>
      </c>
      <c r="I234" s="99">
        <v>3.2242799999999998E-4</v>
      </c>
      <c r="J234" s="133">
        <v>3.2229999999999997E-4</v>
      </c>
      <c r="K234" s="99">
        <v>2.7633900000000001E-4</v>
      </c>
      <c r="L234" s="116">
        <v>2.7620100000000001E-4</v>
      </c>
      <c r="M234" s="2">
        <v>0</v>
      </c>
      <c r="N234" s="2">
        <v>15</v>
      </c>
      <c r="O234" s="2">
        <v>13</v>
      </c>
      <c r="P234" s="126">
        <v>1</v>
      </c>
      <c r="Q234" s="106">
        <v>2</v>
      </c>
      <c r="R234" s="127">
        <v>12</v>
      </c>
      <c r="S234" s="2">
        <v>0</v>
      </c>
      <c r="T234" s="2">
        <v>1</v>
      </c>
      <c r="U234" s="127">
        <v>10</v>
      </c>
      <c r="V234" s="2">
        <v>0</v>
      </c>
      <c r="W234" s="2">
        <v>0</v>
      </c>
      <c r="X234" s="109">
        <v>2</v>
      </c>
    </row>
    <row r="235" spans="2:24" x14ac:dyDescent="0.25">
      <c r="B235">
        <v>20102236</v>
      </c>
      <c r="C235" s="103">
        <v>1017.3</v>
      </c>
      <c r="D235" s="108">
        <v>1009</v>
      </c>
      <c r="E235" s="99">
        <v>2.8382599999999999E-4</v>
      </c>
      <c r="F235" s="99">
        <v>3.21465E-4</v>
      </c>
      <c r="G235" s="132">
        <v>2.8382599999999999E-4</v>
      </c>
      <c r="H235" s="133">
        <v>3.1858199999999998E-4</v>
      </c>
      <c r="I235" s="99">
        <v>2.7882100000000001E-4</v>
      </c>
      <c r="J235" s="133">
        <v>2.8758800000000003E-4</v>
      </c>
      <c r="K235" s="99">
        <v>2.5808800000000001E-4</v>
      </c>
      <c r="L235" s="116">
        <v>2.5875699999999998E-4</v>
      </c>
      <c r="M235" s="2">
        <v>0</v>
      </c>
      <c r="N235" s="2">
        <v>13</v>
      </c>
      <c r="O235" s="2">
        <v>13</v>
      </c>
      <c r="P235" s="126">
        <v>0</v>
      </c>
      <c r="Q235" s="106">
        <v>12</v>
      </c>
      <c r="R235" s="127">
        <v>13</v>
      </c>
      <c r="S235" s="2">
        <v>0</v>
      </c>
      <c r="T235" s="2">
        <v>4</v>
      </c>
      <c r="U235" s="127">
        <v>12</v>
      </c>
      <c r="V235" s="2">
        <v>0</v>
      </c>
      <c r="W235" s="2">
        <v>1</v>
      </c>
      <c r="X235" s="109">
        <v>9</v>
      </c>
    </row>
    <row r="236" spans="2:24" x14ac:dyDescent="0.25">
      <c r="B236">
        <v>20102251</v>
      </c>
      <c r="C236" s="103">
        <v>2361</v>
      </c>
      <c r="D236" s="108">
        <v>2336.8000000000002</v>
      </c>
      <c r="E236" s="99">
        <v>3.3514900000000003E-4</v>
      </c>
      <c r="F236" s="99">
        <v>3.5853399999999998E-4</v>
      </c>
      <c r="G236" s="132">
        <v>3.3237700000000002E-4</v>
      </c>
      <c r="H236" s="133">
        <v>3.3768099999999999E-4</v>
      </c>
      <c r="I236" s="99">
        <v>3.26216E-4</v>
      </c>
      <c r="J236" s="133">
        <v>3.2523200000000001E-4</v>
      </c>
      <c r="K236" s="99">
        <v>2.8401400000000002E-4</v>
      </c>
      <c r="L236" s="116">
        <v>2.83217E-4</v>
      </c>
      <c r="M236" s="2">
        <v>0</v>
      </c>
      <c r="N236" s="2">
        <v>17</v>
      </c>
      <c r="O236" s="2">
        <v>20</v>
      </c>
      <c r="P236" s="126">
        <v>0</v>
      </c>
      <c r="Q236" s="106">
        <v>4</v>
      </c>
      <c r="R236" s="127">
        <v>19</v>
      </c>
      <c r="S236" s="2">
        <v>0</v>
      </c>
      <c r="T236" s="2">
        <v>0</v>
      </c>
      <c r="U236" s="127">
        <v>17</v>
      </c>
      <c r="V236" s="2">
        <v>0</v>
      </c>
      <c r="W236" s="2">
        <v>0</v>
      </c>
      <c r="X236" s="109">
        <v>12</v>
      </c>
    </row>
    <row r="237" spans="2:24" x14ac:dyDescent="0.25">
      <c r="B237">
        <v>20102362</v>
      </c>
      <c r="C237" s="103">
        <v>4423.7</v>
      </c>
      <c r="D237" s="108">
        <v>4370.5</v>
      </c>
      <c r="E237" s="99">
        <v>6.4610399999999994E-5</v>
      </c>
      <c r="F237" s="99">
        <v>1.01341E-4</v>
      </c>
      <c r="G237" s="132">
        <v>4.8498899999999997E-5</v>
      </c>
      <c r="H237" s="133">
        <v>4.8590300000000001E-5</v>
      </c>
      <c r="I237" s="99">
        <v>2.40028E-5</v>
      </c>
      <c r="J237" s="133">
        <v>1.89702E-5</v>
      </c>
      <c r="K237" s="99">
        <v>1.47963E-6</v>
      </c>
      <c r="L237" s="122">
        <v>1.3312399999999999E-6</v>
      </c>
      <c r="M237" s="2">
        <v>0</v>
      </c>
      <c r="N237" s="2">
        <v>32</v>
      </c>
      <c r="O237" s="2">
        <v>23</v>
      </c>
      <c r="P237" s="126">
        <v>1</v>
      </c>
      <c r="Q237" s="106">
        <v>2</v>
      </c>
      <c r="R237" s="127">
        <v>14</v>
      </c>
      <c r="S237" s="2">
        <v>1</v>
      </c>
      <c r="T237" s="2">
        <v>0</v>
      </c>
      <c r="U237" s="127">
        <v>6</v>
      </c>
      <c r="V237" s="2">
        <v>0</v>
      </c>
      <c r="W237" s="2">
        <v>0</v>
      </c>
      <c r="X237" s="109">
        <v>1</v>
      </c>
    </row>
    <row r="238" spans="2:24" x14ac:dyDescent="0.25">
      <c r="B238">
        <v>20110104</v>
      </c>
      <c r="C238" s="103">
        <v>2087.8000000000002</v>
      </c>
      <c r="D238" s="108">
        <v>2065</v>
      </c>
      <c r="E238" s="99">
        <v>2.5463700000000001E-3</v>
      </c>
      <c r="F238" s="99">
        <v>2.5643300000000001E-3</v>
      </c>
      <c r="G238" s="132">
        <v>2.53696E-3</v>
      </c>
      <c r="H238" s="133">
        <v>2.5417899999999999E-3</v>
      </c>
      <c r="I238" s="99">
        <v>2.5338299999999999E-3</v>
      </c>
      <c r="J238" s="133">
        <v>2.5305100000000001E-3</v>
      </c>
      <c r="K238" s="99">
        <v>2.50074E-3</v>
      </c>
      <c r="L238" s="116">
        <v>2.49987E-3</v>
      </c>
      <c r="M238" s="2">
        <v>0</v>
      </c>
      <c r="N238" s="2">
        <v>13</v>
      </c>
      <c r="O238" s="2">
        <v>36</v>
      </c>
      <c r="P238" s="126">
        <v>0</v>
      </c>
      <c r="Q238" s="106">
        <v>4</v>
      </c>
      <c r="R238" s="127">
        <v>33</v>
      </c>
      <c r="S238" s="2">
        <v>1</v>
      </c>
      <c r="T238" s="2">
        <v>1</v>
      </c>
      <c r="U238" s="127">
        <v>31</v>
      </c>
      <c r="V238" s="2">
        <v>0</v>
      </c>
      <c r="W238" s="2">
        <v>0</v>
      </c>
      <c r="X238" s="109">
        <v>24</v>
      </c>
    </row>
    <row r="239" spans="2:24" x14ac:dyDescent="0.25">
      <c r="B239">
        <v>20110187</v>
      </c>
      <c r="C239" s="103">
        <v>5169.1000000000004</v>
      </c>
      <c r="D239" s="108">
        <v>4968.2</v>
      </c>
      <c r="E239" s="99">
        <v>3.2796499999999999E-4</v>
      </c>
      <c r="F239" s="99">
        <v>3.4678500000000001E-4</v>
      </c>
      <c r="G239" s="132">
        <v>2.9658899999999999E-4</v>
      </c>
      <c r="H239" s="133">
        <v>2.9174399999999998E-4</v>
      </c>
      <c r="I239" s="99">
        <v>2.4256200000000001E-4</v>
      </c>
      <c r="J239" s="133">
        <v>2.4446199999999998E-4</v>
      </c>
      <c r="K239" s="99">
        <v>2.1597000000000001E-4</v>
      </c>
      <c r="L239" s="116">
        <v>2.17381E-4</v>
      </c>
      <c r="M239" s="2">
        <v>2</v>
      </c>
      <c r="N239" s="2">
        <v>27</v>
      </c>
      <c r="O239" s="2">
        <v>53</v>
      </c>
      <c r="P239" s="126">
        <v>2</v>
      </c>
      <c r="Q239" s="106">
        <v>1</v>
      </c>
      <c r="R239" s="127">
        <v>38</v>
      </c>
      <c r="S239" s="2">
        <v>2</v>
      </c>
      <c r="T239" s="2">
        <v>1</v>
      </c>
      <c r="U239" s="127">
        <v>20</v>
      </c>
      <c r="V239" s="2">
        <v>0</v>
      </c>
      <c r="W239" s="2">
        <v>0</v>
      </c>
      <c r="X239" s="109">
        <v>15</v>
      </c>
    </row>
    <row r="240" spans="2:24" x14ac:dyDescent="0.25">
      <c r="B240">
        <v>20110299</v>
      </c>
      <c r="C240" s="103">
        <v>6442.6</v>
      </c>
      <c r="D240" s="108">
        <v>5765.8</v>
      </c>
      <c r="E240" s="99">
        <v>1.36818E-4</v>
      </c>
      <c r="F240" s="99">
        <v>1.5993999999999999E-4</v>
      </c>
      <c r="G240" s="132">
        <v>1.15369E-4</v>
      </c>
      <c r="H240" s="133">
        <v>1.16045E-4</v>
      </c>
      <c r="I240" s="99">
        <v>1.05097E-4</v>
      </c>
      <c r="J240" s="133">
        <v>1.0772000000000001E-4</v>
      </c>
      <c r="K240" s="99">
        <v>5.0572799999999998E-5</v>
      </c>
      <c r="L240" s="116">
        <v>5.61303E-5</v>
      </c>
      <c r="M240" s="2">
        <v>0</v>
      </c>
      <c r="N240" s="2">
        <v>26</v>
      </c>
      <c r="O240" s="2">
        <v>32</v>
      </c>
      <c r="P240" s="126">
        <v>0</v>
      </c>
      <c r="Q240" s="106">
        <v>0</v>
      </c>
      <c r="R240" s="127">
        <v>19</v>
      </c>
      <c r="S240" s="2">
        <v>0</v>
      </c>
      <c r="T240" s="2">
        <v>1</v>
      </c>
      <c r="U240" s="127">
        <v>13</v>
      </c>
      <c r="V240" s="2">
        <v>0</v>
      </c>
      <c r="W240" s="2">
        <v>0</v>
      </c>
      <c r="X240" s="109">
        <v>4</v>
      </c>
    </row>
    <row r="241" spans="1:24" x14ac:dyDescent="0.25">
      <c r="B241">
        <v>20110402</v>
      </c>
      <c r="C241" s="103">
        <v>804.9</v>
      </c>
      <c r="D241" s="108">
        <v>791.5</v>
      </c>
      <c r="E241" s="99">
        <v>4.4186099999999999E-4</v>
      </c>
      <c r="F241" s="99">
        <v>5.0170200000000003E-4</v>
      </c>
      <c r="G241" s="132">
        <v>4.4186099999999999E-4</v>
      </c>
      <c r="H241" s="133">
        <v>4.98946E-4</v>
      </c>
      <c r="I241" s="99">
        <v>4.36439E-4</v>
      </c>
      <c r="J241" s="133">
        <v>4.6770399999999999E-4</v>
      </c>
      <c r="K241" s="99">
        <v>3.8131900000000003E-4</v>
      </c>
      <c r="L241" s="116">
        <v>4.0062700000000003E-4</v>
      </c>
      <c r="M241" s="2">
        <v>0</v>
      </c>
      <c r="N241" s="2">
        <v>18</v>
      </c>
      <c r="O241" s="2">
        <v>26</v>
      </c>
      <c r="P241" s="126">
        <v>0</v>
      </c>
      <c r="Q241" s="106">
        <v>17</v>
      </c>
      <c r="R241" s="127">
        <v>26</v>
      </c>
      <c r="S241" s="2">
        <v>0</v>
      </c>
      <c r="T241" s="2">
        <v>9</v>
      </c>
      <c r="U241" s="127">
        <v>25</v>
      </c>
      <c r="V241" s="2">
        <v>0</v>
      </c>
      <c r="W241" s="2">
        <v>4</v>
      </c>
      <c r="X241" s="109">
        <v>18</v>
      </c>
    </row>
    <row r="242" spans="1:24" x14ac:dyDescent="0.25">
      <c r="B242">
        <v>20110602</v>
      </c>
      <c r="C242" s="103">
        <v>17161.7</v>
      </c>
      <c r="D242" s="108">
        <v>7038.8</v>
      </c>
      <c r="E242" s="99">
        <v>1.6289899999999999E-4</v>
      </c>
      <c r="F242" s="99">
        <v>1.7275600000000001E-4</v>
      </c>
      <c r="G242" s="132">
        <v>1.2942100000000001E-4</v>
      </c>
      <c r="H242" s="133">
        <v>1.13552E-4</v>
      </c>
      <c r="I242" s="99">
        <v>1.14886E-4</v>
      </c>
      <c r="J242" s="133">
        <v>9.0407499999999998E-5</v>
      </c>
      <c r="K242" s="99">
        <v>5.5556999999999997E-5</v>
      </c>
      <c r="L242" s="116">
        <v>5.1868099999999999E-5</v>
      </c>
      <c r="M242" s="2">
        <v>7</v>
      </c>
      <c r="N242" s="2">
        <v>41</v>
      </c>
      <c r="O242" s="2">
        <v>47</v>
      </c>
      <c r="P242" s="126">
        <v>1</v>
      </c>
      <c r="Q242" s="106">
        <v>1</v>
      </c>
      <c r="R242" s="127">
        <v>20</v>
      </c>
      <c r="S242" s="2">
        <v>3</v>
      </c>
      <c r="T242" s="2">
        <v>3</v>
      </c>
      <c r="U242" s="127">
        <v>10</v>
      </c>
      <c r="V242" s="2">
        <v>1</v>
      </c>
      <c r="W242" s="2">
        <v>2</v>
      </c>
      <c r="X242" s="109">
        <v>3</v>
      </c>
    </row>
    <row r="243" spans="1:24" x14ac:dyDescent="0.25">
      <c r="B243">
        <v>20110619</v>
      </c>
      <c r="C243" s="103">
        <v>1004.4</v>
      </c>
      <c r="D243" s="108">
        <v>994.2</v>
      </c>
      <c r="E243" s="99">
        <v>3.2961399999999999E-3</v>
      </c>
      <c r="F243" s="99">
        <v>2.9757799999999999E-3</v>
      </c>
      <c r="G243" s="132">
        <v>3.2961399999999999E-3</v>
      </c>
      <c r="H243" s="133">
        <v>2.96627E-3</v>
      </c>
      <c r="I243" s="99">
        <v>3.2961399999999999E-3</v>
      </c>
      <c r="J243" s="133">
        <v>2.9567600000000001E-3</v>
      </c>
      <c r="K243" s="99">
        <v>3.2961399999999999E-3</v>
      </c>
      <c r="L243" s="116">
        <v>2.9355499999999999E-3</v>
      </c>
      <c r="M243" s="2">
        <v>1</v>
      </c>
      <c r="N243" s="2">
        <v>15</v>
      </c>
      <c r="O243" s="2">
        <v>30</v>
      </c>
      <c r="P243" s="126">
        <v>1</v>
      </c>
      <c r="Q243" s="106">
        <v>11</v>
      </c>
      <c r="R243" s="127">
        <v>30</v>
      </c>
      <c r="S243" s="2">
        <v>1</v>
      </c>
      <c r="T243" s="2">
        <v>7</v>
      </c>
      <c r="U243" s="127">
        <v>30</v>
      </c>
      <c r="V243" s="2">
        <v>1</v>
      </c>
      <c r="W243" s="2">
        <v>0</v>
      </c>
      <c r="X243" s="109">
        <v>30</v>
      </c>
    </row>
    <row r="244" spans="1:24" x14ac:dyDescent="0.25">
      <c r="B244">
        <v>20110891</v>
      </c>
      <c r="C244" s="103">
        <v>3607.4</v>
      </c>
      <c r="D244" s="108">
        <v>3597</v>
      </c>
      <c r="E244" s="99">
        <v>1.9172500000000001E-4</v>
      </c>
      <c r="F244" s="99">
        <v>1.80151E-4</v>
      </c>
      <c r="G244" s="132">
        <v>1.67734E-4</v>
      </c>
      <c r="H244" s="133">
        <v>1.4800300000000001E-4</v>
      </c>
      <c r="I244" s="99">
        <v>1.4757400000000001E-4</v>
      </c>
      <c r="J244" s="133">
        <v>1.2616600000000001E-4</v>
      </c>
      <c r="K244" s="99">
        <v>1.3184899999999999E-4</v>
      </c>
      <c r="L244" s="116">
        <v>1.10598E-4</v>
      </c>
      <c r="M244" s="2">
        <v>1</v>
      </c>
      <c r="N244" s="2">
        <v>11</v>
      </c>
      <c r="O244" s="2">
        <v>30</v>
      </c>
      <c r="P244" s="126">
        <v>1</v>
      </c>
      <c r="Q244" s="106">
        <v>2</v>
      </c>
      <c r="R244" s="127">
        <v>19</v>
      </c>
      <c r="S244" s="2">
        <v>1</v>
      </c>
      <c r="T244" s="2">
        <v>0</v>
      </c>
      <c r="U244" s="127">
        <v>10</v>
      </c>
      <c r="V244" s="2">
        <v>1</v>
      </c>
      <c r="W244" s="2">
        <v>0</v>
      </c>
      <c r="X244" s="109">
        <v>7</v>
      </c>
    </row>
    <row r="245" spans="1:24" x14ac:dyDescent="0.25">
      <c r="B245">
        <v>20111053</v>
      </c>
      <c r="C245" s="103">
        <v>43376.7</v>
      </c>
      <c r="D245" s="108">
        <v>7316.7</v>
      </c>
      <c r="E245" s="99">
        <v>1.9700599999999999E-5</v>
      </c>
      <c r="F245" s="99">
        <v>2.5943199999999999E-5</v>
      </c>
      <c r="G245" s="132">
        <v>1.63976E-5</v>
      </c>
      <c r="H245" s="133">
        <v>1.0635700000000001E-5</v>
      </c>
      <c r="I245" s="99">
        <v>1.63976E-5</v>
      </c>
      <c r="J245" s="133">
        <v>1.0635700000000001E-5</v>
      </c>
      <c r="K245" s="99">
        <v>1.63976E-5</v>
      </c>
      <c r="L245" s="116">
        <v>1.0635700000000001E-5</v>
      </c>
      <c r="M245" s="2">
        <v>2</v>
      </c>
      <c r="N245" s="2">
        <v>13</v>
      </c>
      <c r="O245" s="2">
        <v>5</v>
      </c>
      <c r="P245" s="126">
        <v>0</v>
      </c>
      <c r="Q245" s="106">
        <v>0</v>
      </c>
      <c r="R245" s="127">
        <v>1</v>
      </c>
      <c r="S245" s="2">
        <v>0</v>
      </c>
      <c r="T245" s="2">
        <v>0</v>
      </c>
      <c r="U245" s="127">
        <v>1</v>
      </c>
      <c r="V245" s="2">
        <v>0</v>
      </c>
      <c r="W245" s="2">
        <v>0</v>
      </c>
      <c r="X245" s="109">
        <v>1</v>
      </c>
    </row>
    <row r="246" spans="1:24" x14ac:dyDescent="0.25">
      <c r="B246">
        <v>20111249</v>
      </c>
      <c r="C246" s="103">
        <v>5604.3</v>
      </c>
      <c r="D246" s="108">
        <v>5567.7</v>
      </c>
      <c r="E246" s="99">
        <v>1.3106699999999999E-5</v>
      </c>
      <c r="F246" s="99">
        <v>1.8940499999999999E-5</v>
      </c>
      <c r="G246" s="132">
        <v>1.0122000000000001E-5</v>
      </c>
      <c r="H246" s="133">
        <v>3.2656000000000001E-6</v>
      </c>
      <c r="I246" s="99">
        <v>6.4884700000000002E-6</v>
      </c>
      <c r="J246" s="135">
        <v>9.9999999999999995E-7</v>
      </c>
      <c r="K246" s="100">
        <v>9.9999999999999995E-7</v>
      </c>
      <c r="L246" s="118">
        <v>9.9999999999999995E-7</v>
      </c>
      <c r="M246" s="2">
        <v>3</v>
      </c>
      <c r="N246" s="2">
        <v>14</v>
      </c>
      <c r="O246" s="2">
        <v>4</v>
      </c>
      <c r="P246" s="126">
        <v>3</v>
      </c>
      <c r="Q246" s="106">
        <v>0</v>
      </c>
      <c r="R246" s="127">
        <v>2</v>
      </c>
      <c r="S246" s="2">
        <v>3</v>
      </c>
      <c r="T246" s="2">
        <v>0</v>
      </c>
      <c r="U246" s="127">
        <v>0</v>
      </c>
      <c r="V246" s="2">
        <v>0</v>
      </c>
      <c r="W246" s="2">
        <v>0</v>
      </c>
      <c r="X246" s="109">
        <v>0</v>
      </c>
    </row>
    <row r="247" spans="1:24" x14ac:dyDescent="0.25">
      <c r="B247">
        <v>20111347</v>
      </c>
      <c r="C247" s="103">
        <v>7777.1</v>
      </c>
      <c r="D247" s="108">
        <v>6787.2</v>
      </c>
      <c r="E247" s="99">
        <v>4.1894699999999997E-5</v>
      </c>
      <c r="F247" s="99">
        <v>4.7040399999999998E-5</v>
      </c>
      <c r="G247" s="132">
        <v>8.6033900000000006E-6</v>
      </c>
      <c r="H247" s="133">
        <v>8.5722700000000005E-6</v>
      </c>
      <c r="I247" s="100">
        <v>9.9999999999999995E-7</v>
      </c>
      <c r="J247" s="135">
        <v>9.9999999999999995E-7</v>
      </c>
      <c r="K247" s="100">
        <v>9.9999999999999995E-7</v>
      </c>
      <c r="L247" s="118">
        <v>9.9999999999999995E-7</v>
      </c>
      <c r="M247" s="2">
        <v>1</v>
      </c>
      <c r="N247" s="2">
        <v>9</v>
      </c>
      <c r="O247" s="2">
        <v>23</v>
      </c>
      <c r="P247" s="126">
        <v>1</v>
      </c>
      <c r="Q247" s="106">
        <v>1</v>
      </c>
      <c r="R247" s="127">
        <v>2</v>
      </c>
      <c r="S247" s="2">
        <v>0</v>
      </c>
      <c r="T247" s="2">
        <v>0</v>
      </c>
      <c r="U247" s="127">
        <v>0</v>
      </c>
      <c r="V247" s="2">
        <v>0</v>
      </c>
      <c r="W247" s="2">
        <v>0</v>
      </c>
      <c r="X247" s="109">
        <v>0</v>
      </c>
    </row>
    <row r="248" spans="1:24" x14ac:dyDescent="0.25">
      <c r="B248">
        <v>20120568</v>
      </c>
      <c r="C248" s="103">
        <v>11436.7</v>
      </c>
      <c r="D248" s="108">
        <v>6720.6</v>
      </c>
      <c r="E248" s="99">
        <v>4.4514000000000003E-6</v>
      </c>
      <c r="F248" s="99">
        <v>6.8175999999999997E-6</v>
      </c>
      <c r="G248" s="132">
        <v>2.73443E-6</v>
      </c>
      <c r="H248" s="133">
        <v>4.1122000000000002E-6</v>
      </c>
      <c r="I248" s="99">
        <v>2.73443E-6</v>
      </c>
      <c r="J248" s="133">
        <v>4.1122000000000002E-6</v>
      </c>
      <c r="K248" s="100">
        <v>9.9999999999999995E-7</v>
      </c>
      <c r="L248" s="118">
        <v>9.9999999999999995E-7</v>
      </c>
      <c r="M248" s="2">
        <v>0</v>
      </c>
      <c r="N248" s="2">
        <v>2</v>
      </c>
      <c r="O248" s="2">
        <v>3</v>
      </c>
      <c r="P248" s="126">
        <v>0</v>
      </c>
      <c r="Q248" s="106">
        <v>0</v>
      </c>
      <c r="R248" s="127">
        <v>1</v>
      </c>
      <c r="S248" s="2">
        <v>0</v>
      </c>
      <c r="T248" s="2">
        <v>0</v>
      </c>
      <c r="U248" s="127">
        <v>1</v>
      </c>
      <c r="V248" s="2">
        <v>0</v>
      </c>
      <c r="W248" s="2">
        <v>0</v>
      </c>
      <c r="X248" s="109">
        <v>0</v>
      </c>
    </row>
    <row r="249" spans="1:24" x14ac:dyDescent="0.25">
      <c r="B249">
        <v>20121119</v>
      </c>
      <c r="C249" s="103">
        <v>1300</v>
      </c>
      <c r="D249" s="108">
        <v>1289</v>
      </c>
      <c r="E249" s="99">
        <v>1.60556E-3</v>
      </c>
      <c r="F249" s="99">
        <v>1.63513E-3</v>
      </c>
      <c r="G249" s="132">
        <v>1.60556E-3</v>
      </c>
      <c r="H249" s="133">
        <v>1.61933E-3</v>
      </c>
      <c r="I249" s="99">
        <v>1.58654E-3</v>
      </c>
      <c r="J249" s="133">
        <v>1.5928100000000001E-3</v>
      </c>
      <c r="K249" s="99">
        <v>1.57647E-3</v>
      </c>
      <c r="L249" s="116">
        <v>1.5798299999999999E-3</v>
      </c>
      <c r="M249" s="2">
        <v>0</v>
      </c>
      <c r="N249" s="2">
        <v>12</v>
      </c>
      <c r="O249" s="2">
        <v>31</v>
      </c>
      <c r="P249" s="126">
        <v>0</v>
      </c>
      <c r="Q249" s="106">
        <v>5</v>
      </c>
      <c r="R249" s="127">
        <v>31</v>
      </c>
      <c r="S249" s="2">
        <v>0</v>
      </c>
      <c r="T249" s="2">
        <v>2</v>
      </c>
      <c r="U249" s="127">
        <v>26</v>
      </c>
      <c r="V249" s="2">
        <v>0</v>
      </c>
      <c r="W249" s="2">
        <v>0</v>
      </c>
      <c r="X249" s="109">
        <v>24</v>
      </c>
    </row>
    <row r="250" spans="1:24" x14ac:dyDescent="0.25">
      <c r="B250">
        <v>20121257</v>
      </c>
      <c r="C250" s="103">
        <v>3137.5</v>
      </c>
      <c r="D250" s="108">
        <v>3107.8</v>
      </c>
      <c r="E250" s="99">
        <v>8.2336200000000001E-4</v>
      </c>
      <c r="F250" s="99">
        <v>8.4479100000000001E-4</v>
      </c>
      <c r="G250" s="132">
        <v>8.2150799999999998E-4</v>
      </c>
      <c r="H250" s="133">
        <v>8.2302799999999995E-4</v>
      </c>
      <c r="I250" s="99">
        <v>8.2150799999999998E-4</v>
      </c>
      <c r="J250" s="133">
        <v>8.2138899999999995E-4</v>
      </c>
      <c r="K250" s="99">
        <v>8.0180500000000005E-4</v>
      </c>
      <c r="L250" s="116">
        <v>8.00562E-4</v>
      </c>
      <c r="M250" s="2">
        <v>0</v>
      </c>
      <c r="N250" s="2">
        <v>18</v>
      </c>
      <c r="O250" s="2">
        <v>23</v>
      </c>
      <c r="P250" s="126">
        <v>0</v>
      </c>
      <c r="Q250" s="106">
        <v>3</v>
      </c>
      <c r="R250" s="127">
        <v>22</v>
      </c>
      <c r="S250" s="2">
        <v>0</v>
      </c>
      <c r="T250" s="2">
        <v>1</v>
      </c>
      <c r="U250" s="127">
        <v>22</v>
      </c>
      <c r="V250" s="2">
        <v>0</v>
      </c>
      <c r="W250" s="2">
        <v>0</v>
      </c>
      <c r="X250" s="109">
        <v>18</v>
      </c>
    </row>
    <row r="251" spans="1:24" x14ac:dyDescent="0.25">
      <c r="C251" s="105"/>
      <c r="D251" s="109"/>
      <c r="E251" s="2"/>
      <c r="F251" s="2"/>
      <c r="G251" s="126"/>
      <c r="H251" s="127"/>
      <c r="I251" s="2"/>
      <c r="J251" s="127"/>
      <c r="K251" s="2"/>
      <c r="L251" s="109"/>
      <c r="M251" s="2"/>
      <c r="N251" s="2"/>
      <c r="O251" s="2"/>
      <c r="P251" s="126"/>
      <c r="Q251" s="106"/>
      <c r="R251" s="127"/>
      <c r="S251" s="2"/>
      <c r="T251" s="2"/>
      <c r="U251" s="127"/>
      <c r="V251" s="2"/>
      <c r="W251" s="2"/>
      <c r="X251" s="109"/>
    </row>
    <row r="252" spans="1:24" x14ac:dyDescent="0.25">
      <c r="A252" t="s">
        <v>1116</v>
      </c>
      <c r="B252">
        <v>20094785</v>
      </c>
      <c r="C252" s="103">
        <v>38159.300000000003</v>
      </c>
      <c r="D252" s="108">
        <v>7620</v>
      </c>
      <c r="E252" s="99">
        <v>3.3306300000000003E-5</v>
      </c>
      <c r="F252" s="99">
        <v>3.69855E-5</v>
      </c>
      <c r="G252" s="132">
        <v>2.2555899999999999E-5</v>
      </c>
      <c r="H252" s="133">
        <v>2.49902E-5</v>
      </c>
      <c r="I252" s="100">
        <v>9.9999999999999995E-7</v>
      </c>
      <c r="J252" s="133">
        <v>6.2832500000000004E-6</v>
      </c>
      <c r="K252" s="100">
        <v>9.9999999999999995E-7</v>
      </c>
      <c r="L252" s="118">
        <v>9.9999999999999995E-7</v>
      </c>
      <c r="M252" s="2">
        <v>2</v>
      </c>
      <c r="N252" s="2">
        <v>0</v>
      </c>
      <c r="O252" s="2">
        <v>11</v>
      </c>
      <c r="P252" s="126">
        <v>1</v>
      </c>
      <c r="Q252" s="106">
        <v>0</v>
      </c>
      <c r="R252" s="127">
        <v>5</v>
      </c>
      <c r="S252" s="2">
        <v>0</v>
      </c>
      <c r="T252" s="2">
        <v>1</v>
      </c>
      <c r="U252" s="127">
        <v>0</v>
      </c>
      <c r="V252" s="2">
        <v>0</v>
      </c>
      <c r="W252" s="2">
        <v>0</v>
      </c>
      <c r="X252" s="109">
        <v>0</v>
      </c>
    </row>
    <row r="253" spans="1:24" x14ac:dyDescent="0.25">
      <c r="B253">
        <v>20095121</v>
      </c>
      <c r="C253" s="103">
        <v>6370.3</v>
      </c>
      <c r="D253" s="108">
        <v>5533.5</v>
      </c>
      <c r="E253" s="99">
        <v>8.1649699999999999E-5</v>
      </c>
      <c r="F253" s="99">
        <v>1.02452E-4</v>
      </c>
      <c r="G253" s="132">
        <v>4.7828299999999997E-5</v>
      </c>
      <c r="H253" s="133">
        <v>4.4638200000000002E-5</v>
      </c>
      <c r="I253" s="99">
        <v>3.2967299999999999E-5</v>
      </c>
      <c r="J253" s="133">
        <v>3.3036200000000001E-5</v>
      </c>
      <c r="K253" s="101">
        <v>4.6120099999999999E-6</v>
      </c>
      <c r="L253" s="116">
        <v>5.3093899999999997E-6</v>
      </c>
      <c r="M253" s="2">
        <v>0</v>
      </c>
      <c r="N253" s="2">
        <v>18</v>
      </c>
      <c r="O253" s="2">
        <v>22</v>
      </c>
      <c r="P253" s="126">
        <v>1</v>
      </c>
      <c r="Q253" s="106">
        <v>0</v>
      </c>
      <c r="R253" s="127">
        <v>7</v>
      </c>
      <c r="S253" s="2">
        <v>0</v>
      </c>
      <c r="T253" s="2">
        <v>0</v>
      </c>
      <c r="U253" s="127">
        <v>4</v>
      </c>
      <c r="V253" s="2">
        <v>0</v>
      </c>
      <c r="W253" s="2">
        <v>0</v>
      </c>
      <c r="X253" s="109">
        <v>1</v>
      </c>
    </row>
    <row r="254" spans="1:24" x14ac:dyDescent="0.25">
      <c r="B254">
        <v>20095236</v>
      </c>
      <c r="C254" s="103">
        <v>368.4</v>
      </c>
      <c r="D254" s="108">
        <v>365.1</v>
      </c>
      <c r="E254" s="99">
        <v>4.4602999999999998E-4</v>
      </c>
      <c r="F254" s="99">
        <v>5.0073499999999998E-4</v>
      </c>
      <c r="G254" s="132">
        <v>4.4602999999999998E-4</v>
      </c>
      <c r="H254" s="133">
        <v>5.0073499999999998E-4</v>
      </c>
      <c r="I254" s="99">
        <v>4.4602999999999998E-4</v>
      </c>
      <c r="J254" s="133">
        <v>5.0073499999999998E-4</v>
      </c>
      <c r="K254" s="99">
        <v>4.4602999999999998E-4</v>
      </c>
      <c r="L254" s="116">
        <v>4.6496800000000001E-4</v>
      </c>
      <c r="M254" s="2">
        <v>0</v>
      </c>
      <c r="N254" s="2">
        <v>6</v>
      </c>
      <c r="O254" s="2">
        <v>12</v>
      </c>
      <c r="P254" s="126">
        <v>0</v>
      </c>
      <c r="Q254" s="106">
        <v>6</v>
      </c>
      <c r="R254" s="127">
        <v>12</v>
      </c>
      <c r="S254" s="2">
        <v>0</v>
      </c>
      <c r="T254" s="2">
        <v>6</v>
      </c>
      <c r="U254" s="127">
        <v>12</v>
      </c>
      <c r="V254" s="2">
        <v>0</v>
      </c>
      <c r="W254" s="2">
        <v>2</v>
      </c>
      <c r="X254" s="109">
        <v>12</v>
      </c>
    </row>
    <row r="255" spans="1:24" x14ac:dyDescent="0.25">
      <c r="B255">
        <v>20095267</v>
      </c>
      <c r="C255" s="103">
        <v>3601.4</v>
      </c>
      <c r="D255" s="108">
        <v>3560</v>
      </c>
      <c r="E255" s="99">
        <v>1.5197600000000001E-4</v>
      </c>
      <c r="F255" s="99">
        <v>1.6933200000000001E-4</v>
      </c>
      <c r="G255" s="132">
        <v>1.3263899999999999E-4</v>
      </c>
      <c r="H255" s="133">
        <v>1.3082E-4</v>
      </c>
      <c r="I255" s="99">
        <v>1.1390700000000001E-4</v>
      </c>
      <c r="J255" s="133">
        <v>1.1462E-4</v>
      </c>
      <c r="K255" s="99">
        <v>1.0091500000000001E-4</v>
      </c>
      <c r="L255" s="116">
        <v>9.8114699999999998E-5</v>
      </c>
      <c r="M255" s="2">
        <v>0</v>
      </c>
      <c r="N255" s="2">
        <v>10</v>
      </c>
      <c r="O255" s="2">
        <v>19</v>
      </c>
      <c r="P255" s="126">
        <v>1</v>
      </c>
      <c r="Q255" s="106">
        <v>1</v>
      </c>
      <c r="R255" s="127">
        <v>12</v>
      </c>
      <c r="S255" s="2">
        <v>0</v>
      </c>
      <c r="T255" s="2">
        <v>1</v>
      </c>
      <c r="U255" s="127">
        <v>7</v>
      </c>
      <c r="V255" s="2">
        <v>1</v>
      </c>
      <c r="W255" s="2">
        <v>0</v>
      </c>
      <c r="X255" s="109">
        <v>5</v>
      </c>
    </row>
    <row r="256" spans="1:24" x14ac:dyDescent="0.25">
      <c r="B256">
        <v>20095383</v>
      </c>
      <c r="C256" s="103">
        <v>33926.1</v>
      </c>
      <c r="D256" s="108">
        <v>7536.5</v>
      </c>
      <c r="E256" s="99">
        <v>3.1143699999999998E-5</v>
      </c>
      <c r="F256" s="99">
        <v>3.0753600000000003E-5</v>
      </c>
      <c r="G256" s="132">
        <v>1.35031E-5</v>
      </c>
      <c r="H256" s="133">
        <v>2.1513099999999999E-5</v>
      </c>
      <c r="I256" s="99">
        <v>1.35031E-5</v>
      </c>
      <c r="J256" s="133">
        <v>2.1513099999999999E-5</v>
      </c>
      <c r="K256" s="99">
        <v>2.3093200000000002E-6</v>
      </c>
      <c r="L256" s="116">
        <v>1.01068E-5</v>
      </c>
      <c r="M256" s="2">
        <v>9</v>
      </c>
      <c r="N256" s="2">
        <v>1</v>
      </c>
      <c r="O256" s="2">
        <v>7</v>
      </c>
      <c r="P256" s="126">
        <v>0</v>
      </c>
      <c r="Q256" s="106">
        <v>0</v>
      </c>
      <c r="R256" s="127">
        <v>2</v>
      </c>
      <c r="S256" s="2">
        <v>0</v>
      </c>
      <c r="T256" s="2">
        <v>0</v>
      </c>
      <c r="U256" s="127">
        <v>2</v>
      </c>
      <c r="V256" s="2">
        <v>0</v>
      </c>
      <c r="W256" s="2">
        <v>0</v>
      </c>
      <c r="X256" s="109">
        <v>1</v>
      </c>
    </row>
    <row r="257" spans="2:24" x14ac:dyDescent="0.25">
      <c r="B257">
        <v>20095452</v>
      </c>
      <c r="C257" s="103">
        <v>2588.6</v>
      </c>
      <c r="D257" s="108">
        <v>2571.3000000000002</v>
      </c>
      <c r="E257" s="99">
        <v>1.6393700000000001E-4</v>
      </c>
      <c r="F257" s="99">
        <v>1.7392800000000001E-4</v>
      </c>
      <c r="G257" s="132">
        <v>1.6393700000000001E-4</v>
      </c>
      <c r="H257" s="133">
        <v>1.6631E-4</v>
      </c>
      <c r="I257" s="99">
        <v>1.52588E-4</v>
      </c>
      <c r="J257" s="133">
        <v>1.5234499999999999E-4</v>
      </c>
      <c r="K257" s="99">
        <v>1.32411E-4</v>
      </c>
      <c r="L257" s="116">
        <v>1.3245600000000001E-4</v>
      </c>
      <c r="M257" s="2">
        <v>0</v>
      </c>
      <c r="N257" s="2">
        <v>4</v>
      </c>
      <c r="O257" s="2">
        <v>11</v>
      </c>
      <c r="P257" s="126">
        <v>0</v>
      </c>
      <c r="Q257" s="106">
        <v>1</v>
      </c>
      <c r="R257" s="127">
        <v>11</v>
      </c>
      <c r="S257" s="2">
        <v>0</v>
      </c>
      <c r="T257" s="2">
        <v>0</v>
      </c>
      <c r="U257" s="127">
        <v>9</v>
      </c>
      <c r="V257" s="2">
        <v>0</v>
      </c>
      <c r="W257" s="2">
        <v>0</v>
      </c>
      <c r="X257" s="109">
        <v>6</v>
      </c>
    </row>
    <row r="258" spans="2:24" x14ac:dyDescent="0.25">
      <c r="B258">
        <v>20095501</v>
      </c>
      <c r="C258" s="103">
        <v>45983.199999999997</v>
      </c>
      <c r="D258" s="108">
        <v>7631.5</v>
      </c>
      <c r="E258" s="99">
        <v>1.1619E-5</v>
      </c>
      <c r="F258" s="99">
        <v>6.4163400000000001E-6</v>
      </c>
      <c r="G258" s="132">
        <v>4.6144500000000003E-6</v>
      </c>
      <c r="H258" s="133">
        <v>5.4182400000000003E-6</v>
      </c>
      <c r="I258" s="100">
        <v>9.9999999999999995E-7</v>
      </c>
      <c r="J258" s="135">
        <v>9.9999999999999995E-7</v>
      </c>
      <c r="K258" s="100">
        <v>9.9999999999999995E-7</v>
      </c>
      <c r="L258" s="118">
        <v>9.9999999999999995E-7</v>
      </c>
      <c r="M258" s="2">
        <v>6</v>
      </c>
      <c r="N258" s="2">
        <v>0</v>
      </c>
      <c r="O258" s="2">
        <v>2</v>
      </c>
      <c r="P258" s="126">
        <v>0</v>
      </c>
      <c r="Q258" s="106">
        <v>0</v>
      </c>
      <c r="R258" s="127">
        <v>1</v>
      </c>
      <c r="S258" s="2">
        <v>0</v>
      </c>
      <c r="T258" s="2">
        <v>0</v>
      </c>
      <c r="U258" s="127">
        <v>0</v>
      </c>
      <c r="V258" s="2">
        <v>0</v>
      </c>
      <c r="W258" s="2">
        <v>0</v>
      </c>
      <c r="X258" s="109">
        <v>0</v>
      </c>
    </row>
    <row r="259" spans="2:24" x14ac:dyDescent="0.25">
      <c r="B259">
        <v>20095509</v>
      </c>
      <c r="C259" s="103">
        <v>37212.199999999997</v>
      </c>
      <c r="D259" s="108">
        <v>7580.2</v>
      </c>
      <c r="E259" s="99">
        <v>2.4562800000000001E-5</v>
      </c>
      <c r="F259" s="99">
        <v>1.5647100000000001E-5</v>
      </c>
      <c r="G259" s="134">
        <v>9.9999999999999995E-7</v>
      </c>
      <c r="H259" s="135">
        <v>9.9999999999999995E-7</v>
      </c>
      <c r="I259" s="100">
        <v>9.9999999999999995E-7</v>
      </c>
      <c r="J259" s="135">
        <v>9.9999999999999995E-7</v>
      </c>
      <c r="K259" s="100">
        <v>9.9999999999999995E-7</v>
      </c>
      <c r="L259" s="118">
        <v>9.9999999999999995E-7</v>
      </c>
      <c r="M259" s="2">
        <v>12</v>
      </c>
      <c r="N259" s="2">
        <v>3</v>
      </c>
      <c r="O259" s="2">
        <v>10</v>
      </c>
      <c r="P259" s="126">
        <v>0</v>
      </c>
      <c r="Q259" s="106">
        <v>0</v>
      </c>
      <c r="R259" s="127">
        <v>0</v>
      </c>
      <c r="S259" s="2">
        <v>0</v>
      </c>
      <c r="T259" s="2">
        <v>0</v>
      </c>
      <c r="U259" s="127">
        <v>0</v>
      </c>
      <c r="V259" s="2">
        <v>0</v>
      </c>
      <c r="W259" s="2">
        <v>0</v>
      </c>
      <c r="X259" s="109">
        <v>0</v>
      </c>
    </row>
    <row r="260" spans="2:24" x14ac:dyDescent="0.25">
      <c r="B260">
        <v>20095510</v>
      </c>
      <c r="C260" s="103">
        <v>1262.4000000000001</v>
      </c>
      <c r="D260" s="108">
        <v>1245.5999999999999</v>
      </c>
      <c r="E260" s="99">
        <v>2.5599999999999999E-4</v>
      </c>
      <c r="F260" s="99">
        <v>2.76049E-4</v>
      </c>
      <c r="G260" s="132">
        <v>2.5599999999999999E-4</v>
      </c>
      <c r="H260" s="133">
        <v>2.6818700000000003E-4</v>
      </c>
      <c r="I260" s="99">
        <v>2.4996699999999997E-4</v>
      </c>
      <c r="J260" s="133">
        <v>2.5420999999999999E-4</v>
      </c>
      <c r="K260" s="99">
        <v>2.0600699999999999E-4</v>
      </c>
      <c r="L260" s="116">
        <v>2.1053099999999999E-4</v>
      </c>
      <c r="M260" s="2">
        <v>0</v>
      </c>
      <c r="N260" s="2">
        <v>5</v>
      </c>
      <c r="O260" s="2">
        <v>15</v>
      </c>
      <c r="P260" s="126">
        <v>0</v>
      </c>
      <c r="Q260" s="106">
        <v>3</v>
      </c>
      <c r="R260" s="127">
        <v>15</v>
      </c>
      <c r="S260" s="2">
        <v>0</v>
      </c>
      <c r="T260" s="2">
        <v>1</v>
      </c>
      <c r="U260" s="127">
        <v>14</v>
      </c>
      <c r="V260" s="2">
        <v>0</v>
      </c>
      <c r="W260" s="2">
        <v>1</v>
      </c>
      <c r="X260" s="109">
        <v>9</v>
      </c>
    </row>
    <row r="261" spans="2:24" x14ac:dyDescent="0.25">
      <c r="B261">
        <v>20096069</v>
      </c>
      <c r="C261" s="103">
        <v>696.6</v>
      </c>
      <c r="D261" s="108">
        <v>689.9</v>
      </c>
      <c r="E261" s="99">
        <v>1.9526100000000001E-4</v>
      </c>
      <c r="F261" s="99">
        <v>2.1765599999999999E-4</v>
      </c>
      <c r="G261" s="132">
        <v>1.9526100000000001E-4</v>
      </c>
      <c r="H261" s="133">
        <v>2.1765599999999999E-4</v>
      </c>
      <c r="I261" s="99">
        <v>1.9526100000000001E-4</v>
      </c>
      <c r="J261" s="133">
        <v>2.1134699999999999E-4</v>
      </c>
      <c r="K261" s="99">
        <v>1.67143E-4</v>
      </c>
      <c r="L261" s="116">
        <v>1.78226E-4</v>
      </c>
      <c r="M261" s="2">
        <v>0</v>
      </c>
      <c r="N261" s="2">
        <v>4</v>
      </c>
      <c r="O261" s="2">
        <v>7</v>
      </c>
      <c r="P261" s="126">
        <v>0</v>
      </c>
      <c r="Q261" s="106">
        <v>4</v>
      </c>
      <c r="R261" s="127">
        <v>7</v>
      </c>
      <c r="S261" s="2">
        <v>0</v>
      </c>
      <c r="T261" s="2">
        <v>3</v>
      </c>
      <c r="U261" s="127">
        <v>7</v>
      </c>
      <c r="V261" s="2">
        <v>0</v>
      </c>
      <c r="W261" s="2">
        <v>2</v>
      </c>
      <c r="X261" s="109">
        <v>4</v>
      </c>
    </row>
    <row r="262" spans="2:24" x14ac:dyDescent="0.25">
      <c r="B262">
        <v>20096074</v>
      </c>
      <c r="C262" s="103">
        <v>18447.8</v>
      </c>
      <c r="D262" s="108">
        <v>7331.6</v>
      </c>
      <c r="E262" s="99">
        <v>7.9334599999999998E-5</v>
      </c>
      <c r="F262" s="99">
        <v>7.8364799999999999E-5</v>
      </c>
      <c r="G262" s="132">
        <v>7.8036999999999998E-5</v>
      </c>
      <c r="H262" s="133">
        <v>7.1982800000000005E-5</v>
      </c>
      <c r="I262" s="99">
        <v>7.8036999999999998E-5</v>
      </c>
      <c r="J262" s="133">
        <v>7.1982800000000005E-5</v>
      </c>
      <c r="K262" s="99">
        <v>7.8036999999999998E-5</v>
      </c>
      <c r="L262" s="116">
        <v>7.1982800000000005E-5</v>
      </c>
      <c r="M262" s="2">
        <v>0</v>
      </c>
      <c r="N262" s="2">
        <v>5</v>
      </c>
      <c r="O262" s="2">
        <v>3</v>
      </c>
      <c r="P262" s="126">
        <v>0</v>
      </c>
      <c r="Q262" s="106">
        <v>0</v>
      </c>
      <c r="R262" s="127">
        <v>2</v>
      </c>
      <c r="S262" s="2">
        <v>0</v>
      </c>
      <c r="T262" s="2">
        <v>0</v>
      </c>
      <c r="U262" s="127">
        <v>2</v>
      </c>
      <c r="V262" s="2">
        <v>0</v>
      </c>
      <c r="W262" s="2">
        <v>0</v>
      </c>
      <c r="X262" s="109">
        <v>2</v>
      </c>
    </row>
    <row r="263" spans="2:24" x14ac:dyDescent="0.25">
      <c r="B263">
        <v>20097208</v>
      </c>
      <c r="C263" s="103">
        <v>62794.7</v>
      </c>
      <c r="D263" s="108">
        <v>7621.4</v>
      </c>
      <c r="E263" s="99">
        <v>7.7129299999999994E-5</v>
      </c>
      <c r="F263" s="99">
        <v>7.9810999999999999E-5</v>
      </c>
      <c r="G263" s="132">
        <v>7.1358899999999999E-5</v>
      </c>
      <c r="H263" s="133">
        <v>7.6812799999999997E-5</v>
      </c>
      <c r="I263" s="99">
        <v>7.1358899999999999E-5</v>
      </c>
      <c r="J263" s="133">
        <v>7.2386799999999996E-5</v>
      </c>
      <c r="K263" s="99">
        <v>1.2736500000000001E-5</v>
      </c>
      <c r="L263" s="116">
        <v>2.4842799999999999E-5</v>
      </c>
      <c r="M263" s="2">
        <v>4</v>
      </c>
      <c r="N263" s="2">
        <v>0</v>
      </c>
      <c r="O263" s="2">
        <v>10</v>
      </c>
      <c r="P263" s="126">
        <v>0</v>
      </c>
      <c r="Q263" s="106">
        <v>0</v>
      </c>
      <c r="R263" s="127">
        <v>8</v>
      </c>
      <c r="S263" s="2">
        <v>1</v>
      </c>
      <c r="T263" s="2">
        <v>0</v>
      </c>
      <c r="U263" s="127">
        <v>7</v>
      </c>
      <c r="V263" s="2">
        <v>1</v>
      </c>
      <c r="W263" s="2">
        <v>2</v>
      </c>
      <c r="X263" s="109">
        <v>0</v>
      </c>
    </row>
    <row r="264" spans="2:24" x14ac:dyDescent="0.25">
      <c r="B264">
        <v>20097214</v>
      </c>
      <c r="C264" s="103">
        <v>32545.200000000001</v>
      </c>
      <c r="D264" s="108">
        <v>7586.1</v>
      </c>
      <c r="E264" s="99">
        <v>6.0985E-5</v>
      </c>
      <c r="F264" s="99">
        <v>5.6227699999999997E-5</v>
      </c>
      <c r="G264" s="132">
        <v>8.3586899999999994E-6</v>
      </c>
      <c r="H264" s="133">
        <v>4.87689E-6</v>
      </c>
      <c r="I264" s="100">
        <v>9.9999999999999995E-7</v>
      </c>
      <c r="J264" s="135">
        <v>9.9999999999999995E-7</v>
      </c>
      <c r="K264" s="100">
        <v>9.9999999999999995E-7</v>
      </c>
      <c r="L264" s="118">
        <v>9.9999999999999995E-7</v>
      </c>
      <c r="M264" s="2">
        <v>2</v>
      </c>
      <c r="N264" s="2">
        <v>2</v>
      </c>
      <c r="O264" s="2">
        <v>25</v>
      </c>
      <c r="P264" s="126">
        <v>1</v>
      </c>
      <c r="Q264" s="106">
        <v>0</v>
      </c>
      <c r="R264" s="127">
        <v>1</v>
      </c>
      <c r="S264" s="2">
        <v>0</v>
      </c>
      <c r="T264" s="2">
        <v>0</v>
      </c>
      <c r="U264" s="127">
        <v>0</v>
      </c>
      <c r="V264" s="2">
        <v>0</v>
      </c>
      <c r="W264" s="2">
        <v>0</v>
      </c>
      <c r="X264" s="109">
        <v>0</v>
      </c>
    </row>
    <row r="265" spans="2:24" x14ac:dyDescent="0.25">
      <c r="B265">
        <v>20097575</v>
      </c>
      <c r="C265" s="103">
        <v>442.7</v>
      </c>
      <c r="D265" s="108">
        <v>438.7</v>
      </c>
      <c r="E265" s="99">
        <v>2.43339E-4</v>
      </c>
      <c r="F265" s="99">
        <v>2.9271199999999999E-4</v>
      </c>
      <c r="G265" s="132">
        <v>2.43339E-4</v>
      </c>
      <c r="H265" s="133">
        <v>2.9271199999999999E-4</v>
      </c>
      <c r="I265" s="99">
        <v>2.43339E-4</v>
      </c>
      <c r="J265" s="133">
        <v>2.9271199999999999E-4</v>
      </c>
      <c r="K265" s="99">
        <v>2.43339E-4</v>
      </c>
      <c r="L265" s="116">
        <v>2.6046400000000002E-4</v>
      </c>
      <c r="M265" s="2">
        <v>0</v>
      </c>
      <c r="N265" s="2">
        <v>7</v>
      </c>
      <c r="O265" s="2">
        <v>8</v>
      </c>
      <c r="P265" s="126">
        <v>0</v>
      </c>
      <c r="Q265" s="106">
        <v>7</v>
      </c>
      <c r="R265" s="127">
        <v>8</v>
      </c>
      <c r="S265" s="2">
        <v>0</v>
      </c>
      <c r="T265" s="2">
        <v>7</v>
      </c>
      <c r="U265" s="127">
        <v>8</v>
      </c>
      <c r="V265" s="2">
        <v>0</v>
      </c>
      <c r="W265" s="2">
        <v>3</v>
      </c>
      <c r="X265" s="109">
        <v>8</v>
      </c>
    </row>
    <row r="266" spans="2:24" x14ac:dyDescent="0.25">
      <c r="B266">
        <v>20097608</v>
      </c>
      <c r="C266" s="103">
        <v>16708.099999999999</v>
      </c>
      <c r="D266" s="108">
        <v>7370.4</v>
      </c>
      <c r="E266" s="99">
        <v>2.9567300000000001E-5</v>
      </c>
      <c r="F266" s="99">
        <v>2.3031400000000001E-5</v>
      </c>
      <c r="G266" s="134">
        <v>9.9999999999999995E-7</v>
      </c>
      <c r="H266" s="135">
        <v>9.9999999999999995E-7</v>
      </c>
      <c r="I266" s="100">
        <v>9.9999999999999995E-7</v>
      </c>
      <c r="J266" s="135">
        <v>9.9999999999999995E-7</v>
      </c>
      <c r="K266" s="100">
        <v>9.9999999999999995E-7</v>
      </c>
      <c r="L266" s="118">
        <v>9.9999999999999995E-7</v>
      </c>
      <c r="M266" s="2">
        <v>4</v>
      </c>
      <c r="N266" s="2">
        <v>1</v>
      </c>
      <c r="O266" s="2">
        <v>12</v>
      </c>
      <c r="P266" s="126">
        <v>0</v>
      </c>
      <c r="Q266" s="106">
        <v>0</v>
      </c>
      <c r="R266" s="127">
        <v>0</v>
      </c>
      <c r="S266" s="2">
        <v>0</v>
      </c>
      <c r="T266" s="2">
        <v>0</v>
      </c>
      <c r="U266" s="127">
        <v>0</v>
      </c>
      <c r="V266" s="2">
        <v>0</v>
      </c>
      <c r="W266" s="2">
        <v>0</v>
      </c>
      <c r="X266" s="109">
        <v>0</v>
      </c>
    </row>
    <row r="267" spans="2:24" x14ac:dyDescent="0.25">
      <c r="B267">
        <v>20097639</v>
      </c>
      <c r="C267" s="103">
        <v>28146.400000000001</v>
      </c>
      <c r="D267" s="108">
        <v>7518.3</v>
      </c>
      <c r="E267" s="99">
        <v>4.1056900000000003E-5</v>
      </c>
      <c r="F267" s="99">
        <v>2.73543E-5</v>
      </c>
      <c r="G267" s="132">
        <v>3.7113600000000003E-5</v>
      </c>
      <c r="H267" s="133">
        <v>2.47492E-5</v>
      </c>
      <c r="I267" s="99">
        <v>3.7113600000000003E-5</v>
      </c>
      <c r="J267" s="133">
        <v>2.47492E-5</v>
      </c>
      <c r="K267" s="99">
        <v>3.7113600000000003E-5</v>
      </c>
      <c r="L267" s="116">
        <v>2.47492E-5</v>
      </c>
      <c r="M267" s="2">
        <v>1</v>
      </c>
      <c r="N267" s="2">
        <v>0</v>
      </c>
      <c r="O267" s="2">
        <v>3</v>
      </c>
      <c r="P267" s="126">
        <v>0</v>
      </c>
      <c r="Q267" s="106">
        <v>0</v>
      </c>
      <c r="R267" s="127">
        <v>1</v>
      </c>
      <c r="S267" s="2">
        <v>0</v>
      </c>
      <c r="T267" s="2">
        <v>0</v>
      </c>
      <c r="U267" s="127">
        <v>1</v>
      </c>
      <c r="V267" s="2">
        <v>0</v>
      </c>
      <c r="W267" s="2">
        <v>0</v>
      </c>
      <c r="X267" s="109">
        <v>1</v>
      </c>
    </row>
    <row r="268" spans="2:24" x14ac:dyDescent="0.25">
      <c r="B268">
        <v>20097661</v>
      </c>
      <c r="C268" s="103">
        <v>7260.9</v>
      </c>
      <c r="D268" s="108">
        <v>5903.9</v>
      </c>
      <c r="E268" s="99">
        <v>4.2710799999999998E-5</v>
      </c>
      <c r="F268" s="99">
        <v>6.2849500000000002E-5</v>
      </c>
      <c r="G268" s="132">
        <v>2.1130600000000001E-5</v>
      </c>
      <c r="H268" s="133">
        <v>2.7830700000000001E-5</v>
      </c>
      <c r="I268" s="100">
        <v>9.9999999999999995E-7</v>
      </c>
      <c r="J268" s="135">
        <v>9.9999999999999995E-7</v>
      </c>
      <c r="K268" s="100">
        <v>9.9999999999999995E-7</v>
      </c>
      <c r="L268" s="118">
        <v>9.9999999999999995E-7</v>
      </c>
      <c r="M268" s="2">
        <v>0</v>
      </c>
      <c r="N268" s="2">
        <v>15</v>
      </c>
      <c r="O268" s="2">
        <v>12</v>
      </c>
      <c r="P268" s="126">
        <v>0</v>
      </c>
      <c r="Q268" s="106">
        <v>2</v>
      </c>
      <c r="R268" s="127">
        <v>4</v>
      </c>
      <c r="S268" s="2">
        <v>0</v>
      </c>
      <c r="T268" s="2">
        <v>0</v>
      </c>
      <c r="U268" s="127">
        <v>0</v>
      </c>
      <c r="V268" s="2">
        <v>0</v>
      </c>
      <c r="W268" s="2">
        <v>0</v>
      </c>
      <c r="X268" s="109">
        <v>0</v>
      </c>
    </row>
    <row r="269" spans="2:24" x14ac:dyDescent="0.25">
      <c r="B269">
        <v>20100450</v>
      </c>
      <c r="C269" s="103">
        <v>3510.8</v>
      </c>
      <c r="D269" s="108">
        <v>3485.7</v>
      </c>
      <c r="E269" s="99">
        <v>7.2836299999999999E-5</v>
      </c>
      <c r="F269" s="99">
        <v>9.0529899999999995E-5</v>
      </c>
      <c r="G269" s="132">
        <v>5.8579000000000003E-5</v>
      </c>
      <c r="H269" s="133">
        <v>5.6815299999999998E-5</v>
      </c>
      <c r="I269" s="99">
        <v>5.08304E-5</v>
      </c>
      <c r="J269" s="133">
        <v>5.0259700000000003E-5</v>
      </c>
      <c r="K269" s="99">
        <v>5.8888899999999998E-6</v>
      </c>
      <c r="L269" s="116">
        <v>5.6191000000000001E-6</v>
      </c>
      <c r="M269" s="2">
        <v>0</v>
      </c>
      <c r="N269" s="2">
        <v>10</v>
      </c>
      <c r="O269" s="2">
        <v>12</v>
      </c>
      <c r="P269" s="126">
        <v>1</v>
      </c>
      <c r="Q269" s="106">
        <v>2</v>
      </c>
      <c r="R269" s="127">
        <v>7</v>
      </c>
      <c r="S269" s="2">
        <v>0</v>
      </c>
      <c r="T269" s="2">
        <v>0</v>
      </c>
      <c r="U269" s="127">
        <v>6</v>
      </c>
      <c r="V269" s="2">
        <v>0</v>
      </c>
      <c r="W269" s="2">
        <v>0</v>
      </c>
      <c r="X269" s="109">
        <v>1</v>
      </c>
    </row>
    <row r="270" spans="2:24" x14ac:dyDescent="0.25">
      <c r="B270">
        <v>20101450</v>
      </c>
      <c r="C270" s="103">
        <v>13666.8</v>
      </c>
      <c r="D270" s="108">
        <v>6875.2</v>
      </c>
      <c r="E270" s="99">
        <v>2.4180299999999999E-4</v>
      </c>
      <c r="F270" s="99">
        <v>2.4785200000000001E-4</v>
      </c>
      <c r="G270" s="132">
        <v>1.7134E-4</v>
      </c>
      <c r="H270" s="133">
        <v>1.70457E-4</v>
      </c>
      <c r="I270" s="99">
        <v>1.5788400000000001E-4</v>
      </c>
      <c r="J270" s="133">
        <v>1.5004100000000001E-4</v>
      </c>
      <c r="K270" s="99">
        <v>3.2484499999999997E-5</v>
      </c>
      <c r="L270" s="118">
        <v>9.9999999999999995E-7</v>
      </c>
      <c r="M270" s="2">
        <v>0</v>
      </c>
      <c r="N270" s="2">
        <v>7</v>
      </c>
      <c r="O270" s="2">
        <v>63</v>
      </c>
      <c r="P270" s="126">
        <v>0</v>
      </c>
      <c r="Q270" s="106">
        <v>1</v>
      </c>
      <c r="R270" s="127">
        <v>24</v>
      </c>
      <c r="S270" s="2">
        <v>0</v>
      </c>
      <c r="T270" s="2">
        <v>0</v>
      </c>
      <c r="U270" s="127">
        <v>19</v>
      </c>
      <c r="V270" s="2">
        <v>2</v>
      </c>
      <c r="W270" s="2">
        <v>0</v>
      </c>
      <c r="X270" s="109">
        <v>0</v>
      </c>
    </row>
    <row r="271" spans="2:24" x14ac:dyDescent="0.25">
      <c r="B271">
        <v>20101466</v>
      </c>
      <c r="C271" s="103">
        <v>789.7</v>
      </c>
      <c r="D271" s="108">
        <v>784.3</v>
      </c>
      <c r="E271" s="99">
        <v>3.9407899999999998E-4</v>
      </c>
      <c r="F271" s="99">
        <v>4.00963E-4</v>
      </c>
      <c r="G271" s="132">
        <v>3.9407899999999998E-4</v>
      </c>
      <c r="H271" s="133">
        <v>4.00963E-4</v>
      </c>
      <c r="I271" s="99">
        <v>3.9407899999999998E-4</v>
      </c>
      <c r="J271" s="133">
        <v>3.9402600000000001E-4</v>
      </c>
      <c r="K271" s="99">
        <v>3.7341099999999998E-4</v>
      </c>
      <c r="L271" s="116">
        <v>3.7321499999999998E-4</v>
      </c>
      <c r="M271" s="2">
        <v>0</v>
      </c>
      <c r="N271" s="2">
        <v>1</v>
      </c>
      <c r="O271" s="2">
        <v>11</v>
      </c>
      <c r="P271" s="126">
        <v>0</v>
      </c>
      <c r="Q271" s="106">
        <v>1</v>
      </c>
      <c r="R271" s="127">
        <v>11</v>
      </c>
      <c r="S271" s="2">
        <v>0</v>
      </c>
      <c r="T271" s="2">
        <v>0</v>
      </c>
      <c r="U271" s="127">
        <v>11</v>
      </c>
      <c r="V271" s="2">
        <v>0</v>
      </c>
      <c r="W271" s="2">
        <v>0</v>
      </c>
      <c r="X271" s="109">
        <v>9</v>
      </c>
    </row>
    <row r="272" spans="2:24" x14ac:dyDescent="0.25">
      <c r="B272">
        <v>20101910</v>
      </c>
      <c r="C272" s="103">
        <v>1330.1</v>
      </c>
      <c r="D272" s="108">
        <v>1319.4</v>
      </c>
      <c r="E272" s="99">
        <v>4.8347400000000001E-4</v>
      </c>
      <c r="F272" s="99">
        <v>5.1708699999999995E-4</v>
      </c>
      <c r="G272" s="132">
        <v>4.8347400000000001E-4</v>
      </c>
      <c r="H272" s="133">
        <v>4.9647000000000005E-4</v>
      </c>
      <c r="I272" s="99">
        <v>4.73657E-4</v>
      </c>
      <c r="J272" s="133">
        <v>4.7337799999999999E-4</v>
      </c>
      <c r="K272" s="99">
        <v>4.4911499999999999E-4</v>
      </c>
      <c r="L272" s="116">
        <v>4.4863699999999999E-4</v>
      </c>
      <c r="M272" s="2">
        <v>0</v>
      </c>
      <c r="N272" s="2">
        <v>11</v>
      </c>
      <c r="O272" s="2">
        <v>13</v>
      </c>
      <c r="P272" s="126">
        <v>0</v>
      </c>
      <c r="Q272" s="106">
        <v>5</v>
      </c>
      <c r="R272" s="127">
        <v>13</v>
      </c>
      <c r="S272" s="2">
        <v>0</v>
      </c>
      <c r="T272" s="2">
        <v>0</v>
      </c>
      <c r="U272" s="127">
        <v>11</v>
      </c>
      <c r="V272" s="2">
        <v>0</v>
      </c>
      <c r="W272" s="2">
        <v>0</v>
      </c>
      <c r="X272" s="109">
        <v>8</v>
      </c>
    </row>
    <row r="273" spans="2:24" x14ac:dyDescent="0.25">
      <c r="B273">
        <v>20102111</v>
      </c>
      <c r="C273" s="103">
        <v>346.3</v>
      </c>
      <c r="D273" s="108">
        <v>341.7</v>
      </c>
      <c r="E273" s="99">
        <v>1.38243E-3</v>
      </c>
      <c r="F273" s="99">
        <v>1.40741E-3</v>
      </c>
      <c r="G273" s="132">
        <v>1.38243E-3</v>
      </c>
      <c r="H273" s="133">
        <v>1.40741E-3</v>
      </c>
      <c r="I273" s="99">
        <v>1.38243E-3</v>
      </c>
      <c r="J273" s="133">
        <v>1.40741E-3</v>
      </c>
      <c r="K273" s="99">
        <v>1.38243E-3</v>
      </c>
      <c r="L273" s="116">
        <v>1.40741E-3</v>
      </c>
      <c r="M273" s="2">
        <v>0</v>
      </c>
      <c r="N273" s="2">
        <v>1</v>
      </c>
      <c r="O273" s="2">
        <v>12</v>
      </c>
      <c r="P273" s="126">
        <v>0</v>
      </c>
      <c r="Q273" s="106">
        <v>1</v>
      </c>
      <c r="R273" s="127">
        <v>12</v>
      </c>
      <c r="S273" s="2">
        <v>0</v>
      </c>
      <c r="T273" s="2">
        <v>1</v>
      </c>
      <c r="U273" s="127">
        <v>12</v>
      </c>
      <c r="V273" s="2">
        <v>0</v>
      </c>
      <c r="W273" s="2">
        <v>1</v>
      </c>
      <c r="X273" s="109">
        <v>12</v>
      </c>
    </row>
    <row r="274" spans="2:24" x14ac:dyDescent="0.25">
      <c r="B274">
        <v>20102207</v>
      </c>
      <c r="C274" s="103">
        <v>3800.2</v>
      </c>
      <c r="D274" s="108">
        <v>3764.6</v>
      </c>
      <c r="E274" s="99">
        <v>1.2599000000000001E-5</v>
      </c>
      <c r="F274" s="99">
        <v>1.6764799999999999E-5</v>
      </c>
      <c r="G274" s="132">
        <v>5.4404600000000004E-6</v>
      </c>
      <c r="H274" s="133">
        <v>5.2028800000000001E-6</v>
      </c>
      <c r="I274" s="100">
        <v>9.9999999999999995E-7</v>
      </c>
      <c r="J274" s="135">
        <v>9.9999999999999995E-7</v>
      </c>
      <c r="K274" s="100">
        <v>9.9999999999999995E-7</v>
      </c>
      <c r="L274" s="118">
        <v>9.9999999999999995E-7</v>
      </c>
      <c r="M274" s="2">
        <v>0</v>
      </c>
      <c r="N274" s="2">
        <v>2</v>
      </c>
      <c r="O274" s="2">
        <v>3</v>
      </c>
      <c r="P274" s="126">
        <v>0</v>
      </c>
      <c r="Q274" s="106">
        <v>0</v>
      </c>
      <c r="R274" s="127">
        <v>1</v>
      </c>
      <c r="S274" s="2">
        <v>0</v>
      </c>
      <c r="T274" s="2">
        <v>0</v>
      </c>
      <c r="U274" s="127">
        <v>0</v>
      </c>
      <c r="V274" s="2">
        <v>0</v>
      </c>
      <c r="W274" s="2">
        <v>0</v>
      </c>
      <c r="X274" s="109">
        <v>0</v>
      </c>
    </row>
    <row r="275" spans="2:24" x14ac:dyDescent="0.25">
      <c r="B275">
        <v>20102236</v>
      </c>
      <c r="C275" s="103">
        <v>954.9</v>
      </c>
      <c r="D275" s="108">
        <v>946.2</v>
      </c>
      <c r="E275" s="99">
        <v>3.9198500000000002E-4</v>
      </c>
      <c r="F275" s="99">
        <v>3.9904900000000001E-4</v>
      </c>
      <c r="G275" s="132">
        <v>3.9198500000000002E-4</v>
      </c>
      <c r="H275" s="133">
        <v>3.94449E-4</v>
      </c>
      <c r="I275" s="99">
        <v>3.9198500000000002E-4</v>
      </c>
      <c r="J275" s="133">
        <v>3.90999E-4</v>
      </c>
      <c r="K275" s="99">
        <v>3.5893999999999998E-4</v>
      </c>
      <c r="L275" s="116">
        <v>3.5764899999999998E-4</v>
      </c>
      <c r="M275" s="2">
        <v>0</v>
      </c>
      <c r="N275" s="2">
        <v>2</v>
      </c>
      <c r="O275" s="2">
        <v>6</v>
      </c>
      <c r="P275" s="126">
        <v>0</v>
      </c>
      <c r="Q275" s="106">
        <v>1</v>
      </c>
      <c r="R275" s="127">
        <v>6</v>
      </c>
      <c r="S275" s="2">
        <v>0</v>
      </c>
      <c r="T275" s="2">
        <v>0</v>
      </c>
      <c r="U275" s="127">
        <v>6</v>
      </c>
      <c r="V275" s="2">
        <v>0</v>
      </c>
      <c r="W275" s="2">
        <v>0</v>
      </c>
      <c r="X275" s="109">
        <v>3</v>
      </c>
    </row>
    <row r="276" spans="2:24" x14ac:dyDescent="0.25">
      <c r="B276">
        <v>20102251</v>
      </c>
      <c r="C276" s="103">
        <v>12733.7</v>
      </c>
      <c r="D276" s="108">
        <v>6714.5</v>
      </c>
      <c r="E276" s="99">
        <v>2.02268E-4</v>
      </c>
      <c r="F276" s="99">
        <v>8.0218199999999997E-5</v>
      </c>
      <c r="G276" s="132">
        <v>1.8568999999999999E-4</v>
      </c>
      <c r="H276" s="133">
        <v>5.1048000000000003E-5</v>
      </c>
      <c r="I276" s="99">
        <v>1.7577700000000001E-4</v>
      </c>
      <c r="J276" s="133">
        <v>4.5376000000000001E-5</v>
      </c>
      <c r="K276" s="99">
        <v>1.6945400000000001E-4</v>
      </c>
      <c r="L276" s="116">
        <v>3.3707900000000003E-5</v>
      </c>
      <c r="M276" s="2">
        <v>1</v>
      </c>
      <c r="N276" s="2">
        <v>8</v>
      </c>
      <c r="O276" s="2">
        <v>13</v>
      </c>
      <c r="P276" s="126">
        <v>2</v>
      </c>
      <c r="Q276" s="106">
        <v>0</v>
      </c>
      <c r="R276" s="127">
        <v>4</v>
      </c>
      <c r="S276" s="2">
        <v>1</v>
      </c>
      <c r="T276" s="2">
        <v>0</v>
      </c>
      <c r="U276" s="127">
        <v>3</v>
      </c>
      <c r="V276" s="2">
        <v>1</v>
      </c>
      <c r="W276" s="2">
        <v>0</v>
      </c>
      <c r="X276" s="109">
        <v>2</v>
      </c>
    </row>
    <row r="277" spans="2:24" x14ac:dyDescent="0.25">
      <c r="B277">
        <v>20102362</v>
      </c>
      <c r="C277" s="103">
        <v>2069.9</v>
      </c>
      <c r="D277" s="108">
        <v>2055.9</v>
      </c>
      <c r="E277" s="99">
        <v>9.8303700000000005E-5</v>
      </c>
      <c r="F277" s="99">
        <v>1.17501E-4</v>
      </c>
      <c r="G277" s="132">
        <v>9.4623799999999993E-5</v>
      </c>
      <c r="H277" s="133">
        <v>9.9505299999999997E-5</v>
      </c>
      <c r="I277" s="99">
        <v>7.7801799999999998E-5</v>
      </c>
      <c r="J277" s="133">
        <v>8.0980400000000001E-5</v>
      </c>
      <c r="K277" s="99">
        <v>7.7801799999999998E-5</v>
      </c>
      <c r="L277" s="116">
        <v>7.7275399999999995E-5</v>
      </c>
      <c r="M277" s="2">
        <v>0</v>
      </c>
      <c r="N277" s="2">
        <v>9</v>
      </c>
      <c r="O277" s="2">
        <v>5</v>
      </c>
      <c r="P277" s="126">
        <v>0</v>
      </c>
      <c r="Q277" s="106">
        <v>3</v>
      </c>
      <c r="R277" s="127">
        <v>4</v>
      </c>
      <c r="S277" s="2">
        <v>0</v>
      </c>
      <c r="T277" s="2">
        <v>2</v>
      </c>
      <c r="U277" s="127">
        <v>1</v>
      </c>
      <c r="V277" s="2">
        <v>0</v>
      </c>
      <c r="W277" s="2">
        <v>0</v>
      </c>
      <c r="X277" s="109">
        <v>1</v>
      </c>
    </row>
    <row r="278" spans="2:24" x14ac:dyDescent="0.25">
      <c r="B278">
        <v>20110104</v>
      </c>
      <c r="C278" s="103">
        <v>284.60000000000002</v>
      </c>
      <c r="D278" s="108">
        <v>280.89999999999998</v>
      </c>
      <c r="E278" s="99">
        <v>9.8259999999999992E-4</v>
      </c>
      <c r="F278" s="99">
        <v>1.0302899999999999E-3</v>
      </c>
      <c r="G278" s="132">
        <v>9.8259999999999992E-4</v>
      </c>
      <c r="H278" s="133">
        <v>1.0302899999999999E-3</v>
      </c>
      <c r="I278" s="99">
        <v>9.8259999999999992E-4</v>
      </c>
      <c r="J278" s="133">
        <v>1.0302899999999999E-3</v>
      </c>
      <c r="K278" s="99">
        <v>9.8259999999999992E-4</v>
      </c>
      <c r="L278" s="116">
        <v>1.0186699999999999E-3</v>
      </c>
      <c r="M278" s="2">
        <v>0</v>
      </c>
      <c r="N278" s="2">
        <v>5</v>
      </c>
      <c r="O278" s="2">
        <v>9</v>
      </c>
      <c r="P278" s="126">
        <v>0</v>
      </c>
      <c r="Q278" s="106">
        <v>5</v>
      </c>
      <c r="R278" s="127">
        <v>9</v>
      </c>
      <c r="S278" s="2">
        <v>0</v>
      </c>
      <c r="T278" s="2">
        <v>5</v>
      </c>
      <c r="U278" s="127">
        <v>9</v>
      </c>
      <c r="V278" s="2">
        <v>0</v>
      </c>
      <c r="W278" s="2">
        <v>4</v>
      </c>
      <c r="X278" s="109">
        <v>9</v>
      </c>
    </row>
    <row r="279" spans="2:24" x14ac:dyDescent="0.25">
      <c r="B279">
        <v>20110187</v>
      </c>
      <c r="C279" s="150">
        <v>175.8</v>
      </c>
      <c r="D279" s="151">
        <v>174</v>
      </c>
      <c r="E279" s="152">
        <v>2.3273999999999999E-3</v>
      </c>
      <c r="F279" s="152">
        <v>2.3451399999999999E-3</v>
      </c>
      <c r="G279" s="153">
        <v>2.3273999999999999E-3</v>
      </c>
      <c r="H279" s="154">
        <v>2.3451399999999999E-3</v>
      </c>
      <c r="I279" s="152">
        <v>2.3273999999999999E-3</v>
      </c>
      <c r="J279" s="154">
        <v>2.3451399999999999E-3</v>
      </c>
      <c r="K279" s="152">
        <v>2.3273999999999999E-3</v>
      </c>
      <c r="L279" s="155">
        <v>2.3076199999999998E-3</v>
      </c>
      <c r="M279" s="156">
        <v>0</v>
      </c>
      <c r="N279" s="156">
        <v>3</v>
      </c>
      <c r="O279" s="156">
        <v>12</v>
      </c>
      <c r="P279" s="157">
        <v>0</v>
      </c>
      <c r="Q279" s="158">
        <v>3</v>
      </c>
      <c r="R279" s="159">
        <v>12</v>
      </c>
      <c r="S279" s="156">
        <v>0</v>
      </c>
      <c r="T279" s="156">
        <v>3</v>
      </c>
      <c r="U279" s="159">
        <v>12</v>
      </c>
      <c r="V279" s="156">
        <v>0</v>
      </c>
      <c r="W279" s="156">
        <v>0</v>
      </c>
      <c r="X279" s="160">
        <v>12</v>
      </c>
    </row>
    <row r="280" spans="2:24" x14ac:dyDescent="0.25">
      <c r="B280">
        <v>20110299</v>
      </c>
      <c r="C280" s="103">
        <v>656.9</v>
      </c>
      <c r="D280" s="108">
        <v>649.1</v>
      </c>
      <c r="E280" s="99">
        <v>4.1409699999999999E-4</v>
      </c>
      <c r="F280" s="99">
        <v>4.2245899999999997E-4</v>
      </c>
      <c r="G280" s="132">
        <v>4.1409699999999999E-4</v>
      </c>
      <c r="H280" s="133">
        <v>4.2245899999999997E-4</v>
      </c>
      <c r="I280" s="99">
        <v>4.1409699999999999E-4</v>
      </c>
      <c r="J280" s="133">
        <v>4.1742999999999999E-4</v>
      </c>
      <c r="K280" s="99">
        <v>3.9919E-4</v>
      </c>
      <c r="L280" s="116">
        <v>4.0234199999999998E-4</v>
      </c>
      <c r="M280" s="2">
        <v>0</v>
      </c>
      <c r="N280" s="2">
        <v>1</v>
      </c>
      <c r="O280" s="2">
        <v>10</v>
      </c>
      <c r="P280" s="126">
        <v>0</v>
      </c>
      <c r="Q280" s="106">
        <v>1</v>
      </c>
      <c r="R280" s="127">
        <v>10</v>
      </c>
      <c r="S280" s="2">
        <v>0</v>
      </c>
      <c r="T280" s="2">
        <v>0</v>
      </c>
      <c r="U280" s="127">
        <v>10</v>
      </c>
      <c r="V280" s="2">
        <v>0</v>
      </c>
      <c r="W280" s="2">
        <v>0</v>
      </c>
      <c r="X280" s="109">
        <v>9</v>
      </c>
    </row>
    <row r="281" spans="2:24" x14ac:dyDescent="0.25">
      <c r="B281">
        <v>20110402</v>
      </c>
      <c r="C281" s="103">
        <v>1022.1</v>
      </c>
      <c r="D281" s="108">
        <v>1002.9</v>
      </c>
      <c r="E281" s="99">
        <v>2.37397E-4</v>
      </c>
      <c r="F281" s="99">
        <v>2.6907800000000001E-4</v>
      </c>
      <c r="G281" s="132">
        <v>2.37397E-4</v>
      </c>
      <c r="H281" s="133">
        <v>2.6039800000000001E-4</v>
      </c>
      <c r="I281" s="99">
        <v>2.3101E-4</v>
      </c>
      <c r="J281" s="133">
        <v>2.3435799999999999E-4</v>
      </c>
      <c r="K281" s="99">
        <v>2.09719E-4</v>
      </c>
      <c r="L281" s="116">
        <v>2.09404E-4</v>
      </c>
      <c r="M281" s="2">
        <v>0</v>
      </c>
      <c r="N281" s="2">
        <v>7</v>
      </c>
      <c r="O281" s="2">
        <v>9</v>
      </c>
      <c r="P281" s="126">
        <v>0</v>
      </c>
      <c r="Q281" s="106">
        <v>5</v>
      </c>
      <c r="R281" s="127">
        <v>9</v>
      </c>
      <c r="S281" s="2">
        <v>0</v>
      </c>
      <c r="T281" s="2">
        <v>1</v>
      </c>
      <c r="U281" s="127">
        <v>8</v>
      </c>
      <c r="V281" s="2">
        <v>0</v>
      </c>
      <c r="W281" s="2">
        <v>0</v>
      </c>
      <c r="X281" s="109">
        <v>5</v>
      </c>
    </row>
    <row r="282" spans="2:24" x14ac:dyDescent="0.25">
      <c r="B282">
        <v>20110602</v>
      </c>
      <c r="C282" s="103">
        <v>1224.3</v>
      </c>
      <c r="D282" s="108">
        <v>1215</v>
      </c>
      <c r="E282" s="99">
        <v>2.7818899999999998E-4</v>
      </c>
      <c r="F282" s="99">
        <v>3.0629499999999999E-4</v>
      </c>
      <c r="G282" s="132">
        <v>2.7818899999999998E-4</v>
      </c>
      <c r="H282" s="133">
        <v>2.8390499999999999E-4</v>
      </c>
      <c r="I282" s="99">
        <v>2.7196700000000002E-4</v>
      </c>
      <c r="J282" s="133">
        <v>2.6688900000000003E-4</v>
      </c>
      <c r="K282" s="99">
        <v>2.5330300000000002E-4</v>
      </c>
      <c r="L282" s="116">
        <v>2.5793300000000001E-4</v>
      </c>
      <c r="M282" s="2">
        <v>0</v>
      </c>
      <c r="N282" s="2">
        <v>9</v>
      </c>
      <c r="O282" s="2">
        <v>11</v>
      </c>
      <c r="P282" s="126">
        <v>0</v>
      </c>
      <c r="Q282" s="106">
        <v>3</v>
      </c>
      <c r="R282" s="127">
        <v>11</v>
      </c>
      <c r="S282" s="2">
        <v>0</v>
      </c>
      <c r="T282" s="2">
        <v>0</v>
      </c>
      <c r="U282" s="127">
        <v>10</v>
      </c>
      <c r="V282" s="2">
        <v>0</v>
      </c>
      <c r="W282" s="2">
        <v>1</v>
      </c>
      <c r="X282" s="109">
        <v>8</v>
      </c>
    </row>
    <row r="283" spans="2:24" x14ac:dyDescent="0.25">
      <c r="B283">
        <v>20110619</v>
      </c>
      <c r="C283" s="103">
        <v>3627.2</v>
      </c>
      <c r="D283" s="108">
        <v>3583</v>
      </c>
      <c r="E283" s="99">
        <v>1.2419699999999999E-4</v>
      </c>
      <c r="F283" s="99">
        <v>1.5943899999999999E-4</v>
      </c>
      <c r="G283" s="132">
        <v>1.09197E-4</v>
      </c>
      <c r="H283" s="133">
        <v>1.08115E-4</v>
      </c>
      <c r="I283" s="99">
        <v>8.6097800000000001E-5</v>
      </c>
      <c r="J283" s="133">
        <v>8.5337899999999995E-5</v>
      </c>
      <c r="K283" s="99">
        <v>4.88988E-5</v>
      </c>
      <c r="L283" s="116">
        <v>4.8591000000000003E-5</v>
      </c>
      <c r="M283" s="2">
        <v>0</v>
      </c>
      <c r="N283" s="2">
        <v>20</v>
      </c>
      <c r="O283" s="2">
        <v>16</v>
      </c>
      <c r="P283" s="126">
        <v>0</v>
      </c>
      <c r="Q283" s="106">
        <v>0</v>
      </c>
      <c r="R283" s="127">
        <v>12</v>
      </c>
      <c r="S283" s="2">
        <v>0</v>
      </c>
      <c r="T283" s="2">
        <v>0</v>
      </c>
      <c r="U283" s="127">
        <v>8</v>
      </c>
      <c r="V283" s="2">
        <v>0</v>
      </c>
      <c r="W283" s="2">
        <v>0</v>
      </c>
      <c r="X283" s="109">
        <v>2</v>
      </c>
    </row>
    <row r="284" spans="2:24" x14ac:dyDescent="0.25">
      <c r="B284">
        <v>20110891</v>
      </c>
      <c r="C284" s="103">
        <v>21394.7</v>
      </c>
      <c r="D284" s="108">
        <v>7037.4</v>
      </c>
      <c r="E284" s="99">
        <v>5.1572400000000001E-5</v>
      </c>
      <c r="F284" s="99">
        <v>5.0716500000000001E-5</v>
      </c>
      <c r="G284" s="132">
        <v>8.3919599999999992E-6</v>
      </c>
      <c r="H284" s="133">
        <v>1.11329E-5</v>
      </c>
      <c r="I284" s="100">
        <v>9.9999999999999995E-7</v>
      </c>
      <c r="J284" s="135">
        <v>9.9999999999999995E-7</v>
      </c>
      <c r="K284" s="100">
        <v>9.9999999999999995E-7</v>
      </c>
      <c r="L284" s="118">
        <v>9.9999999999999995E-7</v>
      </c>
      <c r="M284" s="2">
        <v>5</v>
      </c>
      <c r="N284" s="2">
        <v>1</v>
      </c>
      <c r="O284" s="2">
        <v>29</v>
      </c>
      <c r="P284" s="126">
        <v>0</v>
      </c>
      <c r="Q284" s="106">
        <v>0</v>
      </c>
      <c r="R284" s="127">
        <v>2</v>
      </c>
      <c r="S284" s="2">
        <v>0</v>
      </c>
      <c r="T284" s="2">
        <v>0</v>
      </c>
      <c r="U284" s="127">
        <v>0</v>
      </c>
      <c r="V284" s="2">
        <v>0</v>
      </c>
      <c r="W284" s="2">
        <v>0</v>
      </c>
      <c r="X284" s="109">
        <v>0</v>
      </c>
    </row>
    <row r="285" spans="2:24" x14ac:dyDescent="0.25">
      <c r="B285">
        <v>20111053</v>
      </c>
      <c r="C285" s="103">
        <v>7590.7</v>
      </c>
      <c r="D285" s="108">
        <v>5996.9</v>
      </c>
      <c r="E285" s="99">
        <v>5.49035E-5</v>
      </c>
      <c r="F285" s="99">
        <v>8.1833699999999995E-5</v>
      </c>
      <c r="G285" s="132">
        <v>1.1181399999999999E-5</v>
      </c>
      <c r="H285" s="133">
        <v>1.9777999999999999E-5</v>
      </c>
      <c r="I285" s="100">
        <v>9.9999999999999995E-7</v>
      </c>
      <c r="J285" s="135">
        <v>9.9999999999999995E-7</v>
      </c>
      <c r="K285" s="100">
        <v>9.9999999999999995E-7</v>
      </c>
      <c r="L285" s="118">
        <v>9.9999999999999995E-7</v>
      </c>
      <c r="M285" s="2">
        <v>1</v>
      </c>
      <c r="N285" s="2">
        <v>20</v>
      </c>
      <c r="O285" s="2">
        <v>21</v>
      </c>
      <c r="P285" s="126">
        <v>0</v>
      </c>
      <c r="Q285" s="106">
        <v>4</v>
      </c>
      <c r="R285" s="127">
        <v>5</v>
      </c>
      <c r="S285" s="2">
        <v>0</v>
      </c>
      <c r="T285" s="2">
        <v>0</v>
      </c>
      <c r="U285" s="127">
        <v>0</v>
      </c>
      <c r="V285" s="2">
        <v>0</v>
      </c>
      <c r="W285" s="2">
        <v>0</v>
      </c>
      <c r="X285" s="109">
        <v>0</v>
      </c>
    </row>
    <row r="286" spans="2:24" x14ac:dyDescent="0.25">
      <c r="B286">
        <v>20111249</v>
      </c>
      <c r="C286" s="103">
        <v>44288.5</v>
      </c>
      <c r="D286" s="108">
        <v>7580.6</v>
      </c>
      <c r="E286" s="99">
        <v>7.7513899999999999E-4</v>
      </c>
      <c r="F286" s="99">
        <v>7.9780599999999997E-4</v>
      </c>
      <c r="G286" s="132">
        <v>7.5548300000000004E-4</v>
      </c>
      <c r="H286" s="133">
        <v>7.8675299999999995E-4</v>
      </c>
      <c r="I286" s="99">
        <v>7.5548300000000004E-4</v>
      </c>
      <c r="J286" s="133">
        <v>7.8675299999999995E-4</v>
      </c>
      <c r="K286" s="99">
        <v>7.5548300000000004E-4</v>
      </c>
      <c r="L286" s="116">
        <v>7.8675299999999995E-4</v>
      </c>
      <c r="M286" s="2">
        <v>10</v>
      </c>
      <c r="N286" s="2">
        <v>2</v>
      </c>
      <c r="O286" s="2">
        <v>12</v>
      </c>
      <c r="P286" s="126">
        <v>0</v>
      </c>
      <c r="Q286" s="106">
        <v>0</v>
      </c>
      <c r="R286" s="127">
        <v>5</v>
      </c>
      <c r="S286" s="2">
        <v>0</v>
      </c>
      <c r="T286" s="2">
        <v>0</v>
      </c>
      <c r="U286" s="127">
        <v>5</v>
      </c>
      <c r="V286" s="2">
        <v>0</v>
      </c>
      <c r="W286" s="2">
        <v>0</v>
      </c>
      <c r="X286" s="109">
        <v>5</v>
      </c>
    </row>
    <row r="287" spans="2:24" x14ac:dyDescent="0.25">
      <c r="B287">
        <v>20111347</v>
      </c>
      <c r="C287" s="103">
        <v>22952.799999999999</v>
      </c>
      <c r="D287" s="108">
        <v>7498.1</v>
      </c>
      <c r="E287" s="99">
        <v>6.5375299999999997E-5</v>
      </c>
      <c r="F287" s="99">
        <v>6.3128399999999997E-5</v>
      </c>
      <c r="G287" s="132">
        <v>2.1855E-5</v>
      </c>
      <c r="H287" s="133">
        <v>2.9604999999999999E-5</v>
      </c>
      <c r="I287" s="99">
        <v>2.1855E-5</v>
      </c>
      <c r="J287" s="133">
        <v>2.9604999999999999E-5</v>
      </c>
      <c r="K287" s="99">
        <v>1.06193E-5</v>
      </c>
      <c r="L287" s="116">
        <v>2.0752500000000002E-5</v>
      </c>
      <c r="M287" s="2">
        <v>8</v>
      </c>
      <c r="N287" s="2">
        <v>7</v>
      </c>
      <c r="O287" s="2">
        <v>22</v>
      </c>
      <c r="P287" s="126">
        <v>0</v>
      </c>
      <c r="Q287" s="106">
        <v>0</v>
      </c>
      <c r="R287" s="127">
        <v>2</v>
      </c>
      <c r="S287" s="2">
        <v>0</v>
      </c>
      <c r="T287" s="2">
        <v>0</v>
      </c>
      <c r="U287" s="127">
        <v>2</v>
      </c>
      <c r="V287" s="2">
        <v>0</v>
      </c>
      <c r="W287" s="2">
        <v>0</v>
      </c>
      <c r="X287" s="109">
        <v>1</v>
      </c>
    </row>
    <row r="288" spans="2:24" x14ac:dyDescent="0.25">
      <c r="B288">
        <v>20120568</v>
      </c>
      <c r="C288" s="103">
        <v>9925</v>
      </c>
      <c r="D288" s="108">
        <v>6522.6</v>
      </c>
      <c r="E288" s="99">
        <v>7.3456499999999997E-6</v>
      </c>
      <c r="F288" s="99">
        <v>7.1735400000000003E-6</v>
      </c>
      <c r="G288" s="134">
        <v>9.9999999999999995E-7</v>
      </c>
      <c r="H288" s="133">
        <v>8.3413300000000005E-7</v>
      </c>
      <c r="I288" s="100">
        <v>9.9999999999999995E-7</v>
      </c>
      <c r="J288" s="135">
        <v>9.9999999999999995E-7</v>
      </c>
      <c r="K288" s="100">
        <v>9.9999999999999995E-7</v>
      </c>
      <c r="L288" s="118">
        <v>9.9999999999999995E-7</v>
      </c>
      <c r="M288" s="2">
        <v>1</v>
      </c>
      <c r="N288" s="2">
        <v>3</v>
      </c>
      <c r="O288" s="2">
        <v>3</v>
      </c>
      <c r="P288" s="126">
        <v>0</v>
      </c>
      <c r="Q288" s="106">
        <v>1</v>
      </c>
      <c r="R288" s="127">
        <v>0</v>
      </c>
      <c r="S288" s="2">
        <v>0</v>
      </c>
      <c r="T288" s="2">
        <v>0</v>
      </c>
      <c r="U288" s="127">
        <v>0</v>
      </c>
      <c r="V288" s="2">
        <v>0</v>
      </c>
      <c r="W288" s="2">
        <v>0</v>
      </c>
      <c r="X288" s="109">
        <v>0</v>
      </c>
    </row>
    <row r="289" spans="1:24" x14ac:dyDescent="0.25">
      <c r="B289">
        <v>20121119</v>
      </c>
      <c r="C289" s="103">
        <v>460.4</v>
      </c>
      <c r="D289" s="108">
        <v>455.7</v>
      </c>
      <c r="E289" s="99">
        <v>1.1958800000000001E-3</v>
      </c>
      <c r="F289" s="99">
        <v>1.2248599999999999E-3</v>
      </c>
      <c r="G289" s="132">
        <v>1.1958800000000001E-3</v>
      </c>
      <c r="H289" s="133">
        <v>1.2248599999999999E-3</v>
      </c>
      <c r="I289" s="99">
        <v>1.1958800000000001E-3</v>
      </c>
      <c r="J289" s="133">
        <v>1.21769E-3</v>
      </c>
      <c r="K289" s="99">
        <v>1.1816999999999999E-3</v>
      </c>
      <c r="L289" s="116">
        <v>1.19382E-3</v>
      </c>
      <c r="M289" s="2">
        <v>0</v>
      </c>
      <c r="N289" s="2">
        <v>3</v>
      </c>
      <c r="O289" s="2">
        <v>12</v>
      </c>
      <c r="P289" s="126">
        <v>0</v>
      </c>
      <c r="Q289" s="106">
        <v>3</v>
      </c>
      <c r="R289" s="127">
        <v>12</v>
      </c>
      <c r="S289" s="2">
        <v>0</v>
      </c>
      <c r="T289" s="2">
        <v>2</v>
      </c>
      <c r="U289" s="127">
        <v>12</v>
      </c>
      <c r="V289" s="2">
        <v>0</v>
      </c>
      <c r="W289" s="2">
        <v>1</v>
      </c>
      <c r="X289" s="109">
        <v>11</v>
      </c>
    </row>
    <row r="290" spans="1:24" x14ac:dyDescent="0.25">
      <c r="B290">
        <v>20121257</v>
      </c>
      <c r="C290" s="103">
        <v>437.3</v>
      </c>
      <c r="D290" s="108">
        <v>432.3</v>
      </c>
      <c r="E290" s="99">
        <v>1.69466E-3</v>
      </c>
      <c r="F290" s="99">
        <v>1.7319099999999999E-3</v>
      </c>
      <c r="G290" s="132">
        <v>1.69466E-3</v>
      </c>
      <c r="H290" s="133">
        <v>1.7319099999999999E-3</v>
      </c>
      <c r="I290" s="99">
        <v>1.69466E-3</v>
      </c>
      <c r="J290" s="133">
        <v>1.7168000000000001E-3</v>
      </c>
      <c r="K290" s="99">
        <v>1.69466E-3</v>
      </c>
      <c r="L290" s="116">
        <v>1.7067300000000001E-3</v>
      </c>
      <c r="M290" s="2">
        <v>0</v>
      </c>
      <c r="N290" s="2">
        <v>3</v>
      </c>
      <c r="O290" s="2">
        <v>10</v>
      </c>
      <c r="P290" s="126">
        <v>0</v>
      </c>
      <c r="Q290" s="106">
        <v>3</v>
      </c>
      <c r="R290" s="127">
        <v>10</v>
      </c>
      <c r="S290" s="2">
        <v>0</v>
      </c>
      <c r="T290" s="2">
        <v>1</v>
      </c>
      <c r="U290" s="127">
        <v>10</v>
      </c>
      <c r="V290" s="2">
        <v>0</v>
      </c>
      <c r="W290" s="2">
        <v>0</v>
      </c>
      <c r="X290" s="109">
        <v>10</v>
      </c>
    </row>
    <row r="291" spans="1:24" x14ac:dyDescent="0.25">
      <c r="C291" s="105"/>
      <c r="D291" s="109"/>
      <c r="E291" s="2"/>
      <c r="F291" s="2"/>
      <c r="G291" s="126"/>
      <c r="H291" s="127"/>
      <c r="I291" s="2"/>
      <c r="J291" s="127"/>
      <c r="K291" s="2"/>
      <c r="L291" s="109"/>
      <c r="M291" s="2"/>
      <c r="N291" s="2"/>
      <c r="O291" s="2"/>
      <c r="P291" s="126"/>
      <c r="Q291" s="106"/>
      <c r="R291" s="127"/>
      <c r="S291" s="2"/>
      <c r="T291" s="2"/>
      <c r="U291" s="127"/>
      <c r="V291" s="2"/>
      <c r="W291" s="2"/>
      <c r="X291" s="109"/>
    </row>
    <row r="292" spans="1:24" x14ac:dyDescent="0.25">
      <c r="A292" t="s">
        <v>1117</v>
      </c>
      <c r="B292">
        <v>20094785</v>
      </c>
      <c r="C292" s="103">
        <v>38033.4</v>
      </c>
      <c r="D292" s="108">
        <v>7474</v>
      </c>
      <c r="E292" s="99">
        <v>1.6701300000000001E-4</v>
      </c>
      <c r="F292" s="99">
        <v>2.2588400000000001E-4</v>
      </c>
      <c r="G292" s="132">
        <v>1.23428E-4</v>
      </c>
      <c r="H292" s="133">
        <v>1.9382500000000001E-4</v>
      </c>
      <c r="I292" s="99">
        <v>1.1671E-4</v>
      </c>
      <c r="J292" s="133">
        <v>1.79595E-4</v>
      </c>
      <c r="K292" s="99">
        <v>1.1671E-4</v>
      </c>
      <c r="L292" s="116">
        <v>1.79595E-4</v>
      </c>
      <c r="M292" s="2">
        <v>5</v>
      </c>
      <c r="N292" s="2">
        <v>1</v>
      </c>
      <c r="O292" s="2">
        <v>17</v>
      </c>
      <c r="P292" s="126">
        <v>2</v>
      </c>
      <c r="Q292" s="106">
        <v>2</v>
      </c>
      <c r="R292" s="127">
        <v>3</v>
      </c>
      <c r="S292" s="2">
        <v>0</v>
      </c>
      <c r="T292" s="2">
        <v>0</v>
      </c>
      <c r="U292" s="127">
        <v>2</v>
      </c>
      <c r="V292" s="2">
        <v>0</v>
      </c>
      <c r="W292" s="2">
        <v>0</v>
      </c>
      <c r="X292" s="109">
        <v>2</v>
      </c>
    </row>
    <row r="293" spans="1:24" x14ac:dyDescent="0.25">
      <c r="B293">
        <v>20095121</v>
      </c>
      <c r="C293" s="103">
        <v>4302.8</v>
      </c>
      <c r="D293" s="108">
        <v>4258.1000000000004</v>
      </c>
      <c r="E293" s="99">
        <v>2.0115500000000001E-4</v>
      </c>
      <c r="F293" s="99">
        <v>2.1848200000000001E-4</v>
      </c>
      <c r="G293" s="132">
        <v>1.82404E-4</v>
      </c>
      <c r="H293" s="133">
        <v>1.8058500000000001E-4</v>
      </c>
      <c r="I293" s="99">
        <v>1.7672099999999999E-4</v>
      </c>
      <c r="J293" s="133">
        <v>1.7513000000000001E-4</v>
      </c>
      <c r="K293" s="99">
        <v>1.6961799999999999E-4</v>
      </c>
      <c r="L293" s="116">
        <v>1.6795300000000001E-4</v>
      </c>
      <c r="M293" s="2">
        <v>1</v>
      </c>
      <c r="N293" s="2">
        <v>12</v>
      </c>
      <c r="O293" s="2">
        <v>15</v>
      </c>
      <c r="P293" s="126">
        <v>1</v>
      </c>
      <c r="Q293" s="106">
        <v>1</v>
      </c>
      <c r="R293" s="127">
        <v>9</v>
      </c>
      <c r="S293" s="2">
        <v>1</v>
      </c>
      <c r="T293" s="2">
        <v>1</v>
      </c>
      <c r="U293" s="127">
        <v>8</v>
      </c>
      <c r="V293" s="2">
        <v>1</v>
      </c>
      <c r="W293" s="2">
        <v>1</v>
      </c>
      <c r="X293" s="109">
        <v>7</v>
      </c>
    </row>
    <row r="294" spans="1:24" x14ac:dyDescent="0.25">
      <c r="B294">
        <v>20095236</v>
      </c>
      <c r="C294" s="103">
        <v>5154.8999999999996</v>
      </c>
      <c r="D294" s="108">
        <v>4989.8999999999996</v>
      </c>
      <c r="E294" s="99">
        <v>1.66007E-4</v>
      </c>
      <c r="F294" s="99">
        <v>1.9550700000000001E-4</v>
      </c>
      <c r="G294" s="132">
        <v>1.40631E-4</v>
      </c>
      <c r="H294" s="133">
        <v>1.4062800000000001E-4</v>
      </c>
      <c r="I294" s="99">
        <v>1.40631E-4</v>
      </c>
      <c r="J294" s="133">
        <v>1.4062800000000001E-4</v>
      </c>
      <c r="K294" s="99">
        <v>1.40631E-4</v>
      </c>
      <c r="L294" s="116">
        <v>1.4062800000000001E-4</v>
      </c>
      <c r="M294" s="2">
        <v>1</v>
      </c>
      <c r="N294" s="2">
        <v>19</v>
      </c>
      <c r="O294" s="2">
        <v>16</v>
      </c>
      <c r="P294" s="126">
        <v>1</v>
      </c>
      <c r="Q294" s="106">
        <v>1</v>
      </c>
      <c r="R294" s="127">
        <v>8</v>
      </c>
      <c r="S294" s="2">
        <v>1</v>
      </c>
      <c r="T294" s="2">
        <v>1</v>
      </c>
      <c r="U294" s="127">
        <v>8</v>
      </c>
      <c r="V294" s="2">
        <v>1</v>
      </c>
      <c r="W294" s="2">
        <v>1</v>
      </c>
      <c r="X294" s="109">
        <v>8</v>
      </c>
    </row>
    <row r="295" spans="1:24" x14ac:dyDescent="0.25">
      <c r="B295">
        <v>20095267</v>
      </c>
      <c r="C295" s="103">
        <v>4057.1</v>
      </c>
      <c r="D295" s="108">
        <v>4015.7</v>
      </c>
      <c r="E295" s="99">
        <v>6.6381999999999997E-4</v>
      </c>
      <c r="F295" s="99">
        <v>6.7917900000000002E-4</v>
      </c>
      <c r="G295" s="132">
        <v>6.5086300000000001E-4</v>
      </c>
      <c r="H295" s="133">
        <v>6.5452100000000003E-4</v>
      </c>
      <c r="I295" s="99">
        <v>6.3217999999999998E-4</v>
      </c>
      <c r="J295" s="133">
        <v>6.3595100000000005E-4</v>
      </c>
      <c r="K295" s="99">
        <v>6.1831899999999999E-4</v>
      </c>
      <c r="L295" s="116">
        <v>6.2164299999999996E-4</v>
      </c>
      <c r="M295" s="2">
        <v>0</v>
      </c>
      <c r="N295" s="2">
        <v>9</v>
      </c>
      <c r="O295" s="2">
        <v>19</v>
      </c>
      <c r="P295" s="126">
        <v>0</v>
      </c>
      <c r="Q295" s="106">
        <v>3</v>
      </c>
      <c r="R295" s="127">
        <v>16</v>
      </c>
      <c r="S295" s="2">
        <v>0</v>
      </c>
      <c r="T295" s="2">
        <v>3</v>
      </c>
      <c r="U295" s="127">
        <v>13</v>
      </c>
      <c r="V295" s="2">
        <v>0</v>
      </c>
      <c r="W295" s="2">
        <v>2</v>
      </c>
      <c r="X295" s="109">
        <v>11</v>
      </c>
    </row>
    <row r="296" spans="1:24" x14ac:dyDescent="0.25">
      <c r="B296">
        <v>20095383</v>
      </c>
      <c r="C296" s="103">
        <v>32864.699999999997</v>
      </c>
      <c r="D296" s="108">
        <v>7373.1</v>
      </c>
      <c r="E296" s="99">
        <v>3.2176099999999998E-5</v>
      </c>
      <c r="F296" s="99">
        <v>3.6145600000000002E-5</v>
      </c>
      <c r="G296" s="132">
        <v>9.5598199999999992E-6</v>
      </c>
      <c r="H296" s="133">
        <v>6.4664100000000003E-6</v>
      </c>
      <c r="I296" s="99">
        <v>9.5598199999999992E-6</v>
      </c>
      <c r="J296" s="135">
        <v>9.9999999999999995E-7</v>
      </c>
      <c r="K296" s="100">
        <v>9.9999999999999995E-7</v>
      </c>
      <c r="L296" s="118">
        <v>9.9999999999999995E-7</v>
      </c>
      <c r="M296" s="2">
        <v>9</v>
      </c>
      <c r="N296" s="2">
        <v>10</v>
      </c>
      <c r="O296" s="2">
        <v>8</v>
      </c>
      <c r="P296" s="126">
        <v>0</v>
      </c>
      <c r="Q296" s="106">
        <v>0</v>
      </c>
      <c r="R296" s="127">
        <v>1</v>
      </c>
      <c r="S296" s="2">
        <v>1</v>
      </c>
      <c r="T296" s="2">
        <v>0</v>
      </c>
      <c r="U296" s="127">
        <v>0</v>
      </c>
      <c r="V296" s="2">
        <v>0</v>
      </c>
      <c r="W296" s="2">
        <v>0</v>
      </c>
      <c r="X296" s="109">
        <v>0</v>
      </c>
    </row>
    <row r="297" spans="1:24" x14ac:dyDescent="0.25">
      <c r="B297">
        <v>20095452</v>
      </c>
      <c r="C297" s="103">
        <v>319.7</v>
      </c>
      <c r="D297" s="108">
        <v>317.7</v>
      </c>
      <c r="E297" s="99">
        <v>2.8678699999999999E-4</v>
      </c>
      <c r="F297" s="99">
        <v>3.1165199999999999E-4</v>
      </c>
      <c r="G297" s="132">
        <v>2.8678699999999999E-4</v>
      </c>
      <c r="H297" s="133">
        <v>3.1165199999999999E-4</v>
      </c>
      <c r="I297" s="99">
        <v>2.8678699999999999E-4</v>
      </c>
      <c r="J297" s="133">
        <v>3.1165199999999999E-4</v>
      </c>
      <c r="K297" s="99">
        <v>2.8678699999999999E-4</v>
      </c>
      <c r="L297" s="116">
        <v>2.8471900000000001E-4</v>
      </c>
      <c r="M297" s="2">
        <v>0</v>
      </c>
      <c r="N297" s="2">
        <v>2</v>
      </c>
      <c r="O297" s="2">
        <v>4</v>
      </c>
      <c r="P297" s="126">
        <v>0</v>
      </c>
      <c r="Q297" s="106">
        <v>2</v>
      </c>
      <c r="R297" s="127">
        <v>4</v>
      </c>
      <c r="S297" s="2">
        <v>0</v>
      </c>
      <c r="T297" s="2">
        <v>2</v>
      </c>
      <c r="U297" s="127">
        <v>4</v>
      </c>
      <c r="V297" s="2">
        <v>0</v>
      </c>
      <c r="W297" s="2">
        <v>0</v>
      </c>
      <c r="X297" s="109">
        <v>4</v>
      </c>
    </row>
    <row r="298" spans="1:24" x14ac:dyDescent="0.25">
      <c r="B298">
        <v>20095501</v>
      </c>
      <c r="C298" s="103">
        <v>66520.3</v>
      </c>
      <c r="D298" s="108">
        <v>7637.2</v>
      </c>
      <c r="E298" s="99">
        <v>3.3135100000000001E-5</v>
      </c>
      <c r="F298" s="99">
        <v>3.4415400000000003E-5</v>
      </c>
      <c r="G298" s="132">
        <v>8.61917E-6</v>
      </c>
      <c r="H298" s="133">
        <v>8.0035900000000001E-6</v>
      </c>
      <c r="I298" s="99">
        <v>8.61917E-6</v>
      </c>
      <c r="J298" s="133">
        <v>8.0035900000000001E-6</v>
      </c>
      <c r="K298" s="100">
        <v>9.9999999999999995E-7</v>
      </c>
      <c r="L298" s="118">
        <v>9.9999999999999995E-7</v>
      </c>
      <c r="M298" s="2">
        <v>21</v>
      </c>
      <c r="N298" s="2">
        <v>7</v>
      </c>
      <c r="O298" s="2">
        <v>7</v>
      </c>
      <c r="P298" s="126">
        <v>0</v>
      </c>
      <c r="Q298" s="106">
        <v>0</v>
      </c>
      <c r="R298" s="127">
        <v>1</v>
      </c>
      <c r="S298" s="2">
        <v>0</v>
      </c>
      <c r="T298" s="2">
        <v>0</v>
      </c>
      <c r="U298" s="127">
        <v>1</v>
      </c>
      <c r="V298" s="2">
        <v>0</v>
      </c>
      <c r="W298" s="2">
        <v>0</v>
      </c>
      <c r="X298" s="109">
        <v>0</v>
      </c>
    </row>
    <row r="299" spans="1:24" x14ac:dyDescent="0.25">
      <c r="B299">
        <v>20095509</v>
      </c>
      <c r="C299" s="103">
        <v>42448.7</v>
      </c>
      <c r="D299" s="108">
        <v>7558.7</v>
      </c>
      <c r="E299" s="99">
        <v>3.2468299999999998E-4</v>
      </c>
      <c r="F299" s="99">
        <v>2.86753E-4</v>
      </c>
      <c r="G299" s="132">
        <v>2.8537199999999999E-4</v>
      </c>
      <c r="H299" s="133">
        <v>2.41306E-4</v>
      </c>
      <c r="I299" s="99">
        <v>2.8537199999999999E-4</v>
      </c>
      <c r="J299" s="133">
        <v>2.3677799999999999E-4</v>
      </c>
      <c r="K299" s="99">
        <v>2.8537199999999999E-4</v>
      </c>
      <c r="L299" s="116">
        <v>2.3677799999999999E-4</v>
      </c>
      <c r="M299" s="2">
        <v>17</v>
      </c>
      <c r="N299" s="2">
        <v>8</v>
      </c>
      <c r="O299" s="2">
        <v>16</v>
      </c>
      <c r="P299" s="126">
        <v>0</v>
      </c>
      <c r="Q299" s="106">
        <v>1</v>
      </c>
      <c r="R299" s="127">
        <v>1</v>
      </c>
      <c r="S299" s="2">
        <v>0</v>
      </c>
      <c r="T299" s="2">
        <v>0</v>
      </c>
      <c r="U299" s="127">
        <v>1</v>
      </c>
      <c r="V299" s="2">
        <v>0</v>
      </c>
      <c r="W299" s="2">
        <v>0</v>
      </c>
      <c r="X299" s="109">
        <v>1</v>
      </c>
    </row>
    <row r="300" spans="1:24" x14ac:dyDescent="0.25">
      <c r="B300">
        <v>20095510</v>
      </c>
      <c r="C300" s="103">
        <v>673.4</v>
      </c>
      <c r="D300" s="108">
        <v>665.4</v>
      </c>
      <c r="E300" s="99">
        <v>1.0365999999999999E-3</v>
      </c>
      <c r="F300" s="99">
        <v>1.0784099999999999E-3</v>
      </c>
      <c r="G300" s="132">
        <v>1.0365999999999999E-3</v>
      </c>
      <c r="H300" s="133">
        <v>1.0784099999999999E-3</v>
      </c>
      <c r="I300" s="99">
        <v>1.0365999999999999E-3</v>
      </c>
      <c r="J300" s="133">
        <v>1.06371E-3</v>
      </c>
      <c r="K300" s="99">
        <v>9.9303400000000006E-4</v>
      </c>
      <c r="L300" s="116">
        <v>9.938970000000001E-4</v>
      </c>
      <c r="M300" s="2">
        <v>0</v>
      </c>
      <c r="N300" s="2">
        <v>7</v>
      </c>
      <c r="O300" s="2">
        <v>6</v>
      </c>
      <c r="P300" s="126">
        <v>0</v>
      </c>
      <c r="Q300" s="106">
        <v>7</v>
      </c>
      <c r="R300" s="127">
        <v>6</v>
      </c>
      <c r="S300" s="2">
        <v>0</v>
      </c>
      <c r="T300" s="2">
        <v>5</v>
      </c>
      <c r="U300" s="127">
        <v>6</v>
      </c>
      <c r="V300" s="2">
        <v>0</v>
      </c>
      <c r="W300" s="2">
        <v>1</v>
      </c>
      <c r="X300" s="109">
        <v>3</v>
      </c>
    </row>
    <row r="301" spans="1:24" x14ac:dyDescent="0.25">
      <c r="B301">
        <v>20096069</v>
      </c>
      <c r="C301" s="103">
        <v>2687.5</v>
      </c>
      <c r="D301" s="108">
        <v>2665</v>
      </c>
      <c r="E301" s="99">
        <v>3.7345599999999998E-4</v>
      </c>
      <c r="F301" s="99">
        <v>3.9175400000000002E-4</v>
      </c>
      <c r="G301" s="132">
        <v>3.7345599999999998E-4</v>
      </c>
      <c r="H301" s="133">
        <v>3.7156999999999999E-4</v>
      </c>
      <c r="I301" s="99">
        <v>3.6435900000000003E-4</v>
      </c>
      <c r="J301" s="133">
        <v>3.58267E-4</v>
      </c>
      <c r="K301" s="99">
        <v>3.4206900000000002E-4</v>
      </c>
      <c r="L301" s="116">
        <v>3.3900100000000002E-4</v>
      </c>
      <c r="M301" s="2">
        <v>2</v>
      </c>
      <c r="N301" s="2">
        <v>9</v>
      </c>
      <c r="O301" s="2">
        <v>10</v>
      </c>
      <c r="P301" s="126">
        <v>2</v>
      </c>
      <c r="Q301" s="106">
        <v>2</v>
      </c>
      <c r="R301" s="127">
        <v>10</v>
      </c>
      <c r="S301" s="2">
        <v>3</v>
      </c>
      <c r="T301" s="2">
        <v>2</v>
      </c>
      <c r="U301" s="127">
        <v>7</v>
      </c>
      <c r="V301" s="2">
        <v>2</v>
      </c>
      <c r="W301" s="2">
        <v>1</v>
      </c>
      <c r="X301" s="109">
        <v>6</v>
      </c>
    </row>
    <row r="302" spans="1:24" x14ac:dyDescent="0.25">
      <c r="B302">
        <v>20096074</v>
      </c>
      <c r="C302" s="103">
        <v>22323.9</v>
      </c>
      <c r="D302" s="108">
        <v>7294.7</v>
      </c>
      <c r="E302" s="99">
        <v>1.26883E-4</v>
      </c>
      <c r="F302" s="99">
        <v>1.49655E-4</v>
      </c>
      <c r="G302" s="132">
        <v>1.15931E-4</v>
      </c>
      <c r="H302" s="133">
        <v>1.3591300000000001E-4</v>
      </c>
      <c r="I302" s="99">
        <v>1.15931E-4</v>
      </c>
      <c r="J302" s="133">
        <v>1.3591300000000001E-4</v>
      </c>
      <c r="K302" s="99">
        <v>1.15931E-4</v>
      </c>
      <c r="L302" s="116">
        <v>1.3591300000000001E-4</v>
      </c>
      <c r="M302" s="2">
        <v>1</v>
      </c>
      <c r="N302" s="2">
        <v>2</v>
      </c>
      <c r="O302" s="2">
        <v>8</v>
      </c>
      <c r="P302" s="126">
        <v>0</v>
      </c>
      <c r="Q302" s="106">
        <v>0</v>
      </c>
      <c r="R302" s="127">
        <v>3</v>
      </c>
      <c r="S302" s="2">
        <v>0</v>
      </c>
      <c r="T302" s="2">
        <v>0</v>
      </c>
      <c r="U302" s="127">
        <v>3</v>
      </c>
      <c r="V302" s="2">
        <v>0</v>
      </c>
      <c r="W302" s="2">
        <v>0</v>
      </c>
      <c r="X302" s="109">
        <v>3</v>
      </c>
    </row>
    <row r="303" spans="1:24" x14ac:dyDescent="0.25">
      <c r="B303">
        <v>20097208</v>
      </c>
      <c r="C303" s="103">
        <v>50043.5</v>
      </c>
      <c r="D303" s="108">
        <v>7589</v>
      </c>
      <c r="E303" s="99">
        <v>1.2407299999999999E-4</v>
      </c>
      <c r="F303" s="99">
        <v>1.5367700000000001E-4</v>
      </c>
      <c r="G303" s="132">
        <v>1.1014900000000001E-4</v>
      </c>
      <c r="H303" s="133">
        <v>1.4497800000000001E-4</v>
      </c>
      <c r="I303" s="99">
        <v>2.3011799999999999E-5</v>
      </c>
      <c r="J303" s="133">
        <v>4.4298899999999997E-5</v>
      </c>
      <c r="K303" s="99">
        <v>2.1741499999999998E-5</v>
      </c>
      <c r="L303" s="116">
        <v>2.5290600000000001E-5</v>
      </c>
      <c r="M303" s="2">
        <v>11</v>
      </c>
      <c r="N303" s="2">
        <v>5</v>
      </c>
      <c r="O303" s="2">
        <v>24</v>
      </c>
      <c r="P303" s="126">
        <v>1</v>
      </c>
      <c r="Q303" s="106">
        <v>6</v>
      </c>
      <c r="R303" s="127">
        <v>20</v>
      </c>
      <c r="S303" s="2">
        <v>0</v>
      </c>
      <c r="T303" s="2">
        <v>2</v>
      </c>
      <c r="U303" s="127">
        <v>2</v>
      </c>
      <c r="V303" s="2">
        <v>0</v>
      </c>
      <c r="W303" s="2">
        <v>0</v>
      </c>
      <c r="X303" s="109">
        <v>1</v>
      </c>
    </row>
    <row r="304" spans="1:24" x14ac:dyDescent="0.25">
      <c r="B304">
        <v>20097214</v>
      </c>
      <c r="C304" s="103">
        <v>33773.4</v>
      </c>
      <c r="D304" s="108">
        <v>7413.1</v>
      </c>
      <c r="E304" s="99">
        <v>5.0205199999999998E-5</v>
      </c>
      <c r="F304" s="99">
        <v>5.8872600000000003E-5</v>
      </c>
      <c r="G304" s="132">
        <v>4.0902600000000002E-6</v>
      </c>
      <c r="H304" s="136">
        <v>2.1438199999999998E-6</v>
      </c>
      <c r="I304" s="100">
        <v>9.9999999999999995E-7</v>
      </c>
      <c r="J304" s="135">
        <v>9.9999999999999995E-7</v>
      </c>
      <c r="K304" s="100">
        <v>9.9999999999999995E-7</v>
      </c>
      <c r="L304" s="118">
        <v>9.9999999999999995E-7</v>
      </c>
      <c r="M304" s="2">
        <v>4</v>
      </c>
      <c r="N304" s="2">
        <v>6</v>
      </c>
      <c r="O304" s="2">
        <v>21</v>
      </c>
      <c r="P304" s="126">
        <v>1</v>
      </c>
      <c r="Q304" s="106">
        <v>0</v>
      </c>
      <c r="R304" s="127">
        <v>1</v>
      </c>
      <c r="S304" s="2">
        <v>0</v>
      </c>
      <c r="T304" s="2">
        <v>0</v>
      </c>
      <c r="U304" s="127">
        <v>0</v>
      </c>
      <c r="V304" s="2">
        <v>0</v>
      </c>
      <c r="W304" s="2">
        <v>0</v>
      </c>
      <c r="X304" s="109">
        <v>0</v>
      </c>
    </row>
    <row r="305" spans="2:24" x14ac:dyDescent="0.25">
      <c r="B305">
        <v>20097575</v>
      </c>
      <c r="C305" s="103">
        <v>15430.8</v>
      </c>
      <c r="D305" s="108">
        <v>6667.2</v>
      </c>
      <c r="E305" s="99">
        <v>1.23907E-4</v>
      </c>
      <c r="F305" s="99">
        <v>1.2761900000000001E-4</v>
      </c>
      <c r="G305" s="132">
        <v>9.8713299999999996E-5</v>
      </c>
      <c r="H305" s="133">
        <v>1.02315E-4</v>
      </c>
      <c r="I305" s="99">
        <v>6.5676800000000001E-5</v>
      </c>
      <c r="J305" s="133">
        <v>7.9028299999999997E-5</v>
      </c>
      <c r="K305" s="99">
        <v>6.1319499999999995E-5</v>
      </c>
      <c r="L305" s="116">
        <v>5.7208399999999999E-5</v>
      </c>
      <c r="M305" s="2">
        <v>4</v>
      </c>
      <c r="N305" s="2">
        <v>5</v>
      </c>
      <c r="O305" s="2">
        <v>27</v>
      </c>
      <c r="P305" s="126">
        <v>0</v>
      </c>
      <c r="Q305" s="106">
        <v>1</v>
      </c>
      <c r="R305" s="127">
        <v>17</v>
      </c>
      <c r="S305" s="2">
        <v>0</v>
      </c>
      <c r="T305" s="2">
        <v>2</v>
      </c>
      <c r="U305" s="127">
        <v>11</v>
      </c>
      <c r="V305" s="2">
        <v>0</v>
      </c>
      <c r="W305" s="2">
        <v>0</v>
      </c>
      <c r="X305" s="109">
        <v>10</v>
      </c>
    </row>
    <row r="306" spans="2:24" x14ac:dyDescent="0.25">
      <c r="B306">
        <v>20097608</v>
      </c>
      <c r="C306" s="103">
        <v>23718.3</v>
      </c>
      <c r="D306" s="108">
        <v>7326.3</v>
      </c>
      <c r="E306" s="99">
        <v>4.23162E-5</v>
      </c>
      <c r="F306" s="99">
        <v>5.6066500000000003E-5</v>
      </c>
      <c r="G306" s="132">
        <v>1.6235800000000001E-5</v>
      </c>
      <c r="H306" s="133">
        <v>2.7532700000000002E-5</v>
      </c>
      <c r="I306" s="99">
        <v>1.6235800000000001E-5</v>
      </c>
      <c r="J306" s="133">
        <v>2.7532700000000002E-5</v>
      </c>
      <c r="K306" s="99">
        <v>1.6235800000000001E-5</v>
      </c>
      <c r="L306" s="116">
        <v>2.7532700000000002E-5</v>
      </c>
      <c r="M306" s="2">
        <v>3</v>
      </c>
      <c r="N306" s="2">
        <v>2</v>
      </c>
      <c r="O306" s="2">
        <v>15</v>
      </c>
      <c r="P306" s="126">
        <v>0</v>
      </c>
      <c r="Q306" s="106">
        <v>0</v>
      </c>
      <c r="R306" s="127">
        <v>1</v>
      </c>
      <c r="S306" s="2">
        <v>0</v>
      </c>
      <c r="T306" s="2">
        <v>0</v>
      </c>
      <c r="U306" s="127">
        <v>1</v>
      </c>
      <c r="V306" s="2">
        <v>0</v>
      </c>
      <c r="W306" s="2">
        <v>0</v>
      </c>
      <c r="X306" s="109">
        <v>1</v>
      </c>
    </row>
    <row r="307" spans="2:24" x14ac:dyDescent="0.25">
      <c r="B307">
        <v>20097639</v>
      </c>
      <c r="C307" s="103">
        <v>31930</v>
      </c>
      <c r="D307" s="108">
        <v>7414.2</v>
      </c>
      <c r="E307" s="99">
        <v>2.52692E-6</v>
      </c>
      <c r="F307" s="99">
        <v>2.44029E-5</v>
      </c>
      <c r="G307" s="134">
        <v>9.9999999999999995E-7</v>
      </c>
      <c r="H307" s="135">
        <v>9.9999999999999995E-7</v>
      </c>
      <c r="I307" s="100">
        <v>9.9999999999999995E-7</v>
      </c>
      <c r="J307" s="135">
        <v>9.9999999999999995E-7</v>
      </c>
      <c r="K307" s="100">
        <v>9.9999999999999995E-7</v>
      </c>
      <c r="L307" s="118">
        <v>9.9999999999999995E-7</v>
      </c>
      <c r="M307" s="2">
        <v>0</v>
      </c>
      <c r="N307" s="2">
        <v>7</v>
      </c>
      <c r="O307" s="2">
        <v>2</v>
      </c>
      <c r="P307" s="126">
        <v>0</v>
      </c>
      <c r="Q307" s="106">
        <v>0</v>
      </c>
      <c r="R307" s="127">
        <v>0</v>
      </c>
      <c r="S307" s="2">
        <v>0</v>
      </c>
      <c r="T307" s="2">
        <v>0</v>
      </c>
      <c r="U307" s="127">
        <v>0</v>
      </c>
      <c r="V307" s="2">
        <v>0</v>
      </c>
      <c r="W307" s="2">
        <v>0</v>
      </c>
      <c r="X307" s="109">
        <v>0</v>
      </c>
    </row>
    <row r="308" spans="2:24" x14ac:dyDescent="0.25">
      <c r="B308">
        <v>20097661</v>
      </c>
      <c r="C308" s="103">
        <v>1973.3</v>
      </c>
      <c r="D308" s="108">
        <v>1952.9</v>
      </c>
      <c r="E308" s="99">
        <v>3.5311800000000003E-5</v>
      </c>
      <c r="F308" s="99">
        <v>6.94834E-5</v>
      </c>
      <c r="G308" s="132">
        <v>3.5311800000000003E-5</v>
      </c>
      <c r="H308" s="133">
        <v>4.4444299999999997E-5</v>
      </c>
      <c r="I308" s="99">
        <v>2.8497199999999999E-5</v>
      </c>
      <c r="J308" s="133">
        <v>3.1298799999999999E-5</v>
      </c>
      <c r="K308" s="99">
        <v>1.79656E-5</v>
      </c>
      <c r="L308" s="116">
        <v>2.0657199999999999E-5</v>
      </c>
      <c r="M308" s="2">
        <v>0</v>
      </c>
      <c r="N308" s="2">
        <v>12</v>
      </c>
      <c r="O308" s="2">
        <v>4</v>
      </c>
      <c r="P308" s="126">
        <v>0</v>
      </c>
      <c r="Q308" s="106">
        <v>4</v>
      </c>
      <c r="R308" s="127">
        <v>4</v>
      </c>
      <c r="S308" s="2">
        <v>0</v>
      </c>
      <c r="T308" s="2">
        <v>2</v>
      </c>
      <c r="U308" s="127">
        <v>3</v>
      </c>
      <c r="V308" s="2">
        <v>0</v>
      </c>
      <c r="W308" s="2">
        <v>2</v>
      </c>
      <c r="X308" s="109">
        <v>1</v>
      </c>
    </row>
    <row r="309" spans="2:24" x14ac:dyDescent="0.25">
      <c r="B309">
        <v>20100450</v>
      </c>
      <c r="C309" s="103">
        <v>1030.8</v>
      </c>
      <c r="D309" s="108">
        <v>1024.5999999999999</v>
      </c>
      <c r="E309" s="99">
        <v>8.3014899999999997E-5</v>
      </c>
      <c r="F309" s="99">
        <v>9.7838399999999995E-5</v>
      </c>
      <c r="G309" s="132">
        <v>8.3014899999999997E-5</v>
      </c>
      <c r="H309" s="133">
        <v>9.7838399999999995E-5</v>
      </c>
      <c r="I309" s="99">
        <v>7.5899299999999993E-5</v>
      </c>
      <c r="J309" s="133">
        <v>7.8747999999999999E-5</v>
      </c>
      <c r="K309" s="99">
        <v>5.69245E-5</v>
      </c>
      <c r="L309" s="116">
        <v>5.7271200000000001E-5</v>
      </c>
      <c r="M309" s="2">
        <v>0</v>
      </c>
      <c r="N309" s="2">
        <v>3</v>
      </c>
      <c r="O309" s="2">
        <v>5</v>
      </c>
      <c r="P309" s="126">
        <v>0</v>
      </c>
      <c r="Q309" s="106">
        <v>3</v>
      </c>
      <c r="R309" s="127">
        <v>5</v>
      </c>
      <c r="S309" s="2">
        <v>0</v>
      </c>
      <c r="T309" s="2">
        <v>1</v>
      </c>
      <c r="U309" s="127">
        <v>4</v>
      </c>
      <c r="V309" s="2">
        <v>0</v>
      </c>
      <c r="W309" s="2">
        <v>0</v>
      </c>
      <c r="X309" s="109">
        <v>2</v>
      </c>
    </row>
    <row r="310" spans="2:24" x14ac:dyDescent="0.25">
      <c r="B310">
        <v>20101450</v>
      </c>
      <c r="C310" s="103">
        <v>32215.599999999999</v>
      </c>
      <c r="D310" s="108">
        <v>7187.6</v>
      </c>
      <c r="E310" s="99">
        <v>2.1007600000000001E-4</v>
      </c>
      <c r="F310" s="99">
        <v>2.20258E-4</v>
      </c>
      <c r="G310" s="132">
        <v>1.9508700000000001E-4</v>
      </c>
      <c r="H310" s="133">
        <v>2.0274E-4</v>
      </c>
      <c r="I310" s="99">
        <v>1.9508700000000001E-4</v>
      </c>
      <c r="J310" s="133">
        <v>1.9797700000000001E-4</v>
      </c>
      <c r="K310" s="99">
        <v>1.01926E-4</v>
      </c>
      <c r="L310" s="116">
        <v>1.2671199999999999E-4</v>
      </c>
      <c r="M310" s="2">
        <v>3</v>
      </c>
      <c r="N310" s="2">
        <v>1</v>
      </c>
      <c r="O310" s="2">
        <v>32</v>
      </c>
      <c r="P310" s="126">
        <v>1</v>
      </c>
      <c r="Q310" s="106">
        <v>0</v>
      </c>
      <c r="R310" s="127">
        <v>22</v>
      </c>
      <c r="S310" s="2">
        <v>2</v>
      </c>
      <c r="T310" s="2">
        <v>0</v>
      </c>
      <c r="U310" s="127">
        <v>21</v>
      </c>
      <c r="V310" s="2">
        <v>3</v>
      </c>
      <c r="W310" s="2">
        <v>2</v>
      </c>
      <c r="X310" s="109">
        <v>11</v>
      </c>
    </row>
    <row r="311" spans="2:24" x14ac:dyDescent="0.25">
      <c r="B311">
        <v>20101466</v>
      </c>
      <c r="C311" s="103">
        <v>5339</v>
      </c>
      <c r="D311" s="108">
        <v>5157.6000000000004</v>
      </c>
      <c r="E311" s="99">
        <v>1.67152E-4</v>
      </c>
      <c r="F311" s="99">
        <v>1.9412699999999999E-4</v>
      </c>
      <c r="G311" s="132">
        <v>1.40591E-4</v>
      </c>
      <c r="H311" s="133">
        <v>1.5478000000000001E-4</v>
      </c>
      <c r="I311" s="99">
        <v>1.1861E-4</v>
      </c>
      <c r="J311" s="133">
        <v>1.3510599999999999E-4</v>
      </c>
      <c r="K311" s="99">
        <v>1.06703E-4</v>
      </c>
      <c r="L311" s="116">
        <v>1.22781E-4</v>
      </c>
      <c r="M311" s="2">
        <v>1</v>
      </c>
      <c r="N311" s="2">
        <v>9</v>
      </c>
      <c r="O311" s="2">
        <v>22</v>
      </c>
      <c r="P311" s="126">
        <v>2</v>
      </c>
      <c r="Q311" s="106">
        <v>1</v>
      </c>
      <c r="R311" s="127">
        <v>12</v>
      </c>
      <c r="S311" s="2">
        <v>1</v>
      </c>
      <c r="T311" s="2">
        <v>1</v>
      </c>
      <c r="U311" s="127">
        <v>9</v>
      </c>
      <c r="V311" s="2">
        <v>1</v>
      </c>
      <c r="W311" s="2">
        <v>1</v>
      </c>
      <c r="X311" s="109">
        <v>7</v>
      </c>
    </row>
    <row r="312" spans="2:24" x14ac:dyDescent="0.25">
      <c r="B312">
        <v>20101910</v>
      </c>
      <c r="C312" s="103">
        <v>872</v>
      </c>
      <c r="D312" s="108">
        <v>866</v>
      </c>
      <c r="E312" s="99">
        <v>4.7107200000000001E-4</v>
      </c>
      <c r="F312" s="99">
        <v>5.0818300000000005E-4</v>
      </c>
      <c r="G312" s="132">
        <v>4.7107200000000001E-4</v>
      </c>
      <c r="H312" s="133">
        <v>5.0394800000000005E-4</v>
      </c>
      <c r="I312" s="99">
        <v>4.6265999999999999E-4</v>
      </c>
      <c r="J312" s="133">
        <v>4.68658E-4</v>
      </c>
      <c r="K312" s="99">
        <v>4.43032E-4</v>
      </c>
      <c r="L312" s="116">
        <v>4.4889499999999999E-4</v>
      </c>
      <c r="M312" s="2">
        <v>0</v>
      </c>
      <c r="N312" s="2">
        <v>7</v>
      </c>
      <c r="O312" s="2">
        <v>13</v>
      </c>
      <c r="P312" s="126">
        <v>0</v>
      </c>
      <c r="Q312" s="106">
        <v>6</v>
      </c>
      <c r="R312" s="127">
        <v>13</v>
      </c>
      <c r="S312" s="2">
        <v>0</v>
      </c>
      <c r="T312" s="2">
        <v>1</v>
      </c>
      <c r="U312" s="127">
        <v>12</v>
      </c>
      <c r="V312" s="2">
        <v>0</v>
      </c>
      <c r="W312" s="2">
        <v>1</v>
      </c>
      <c r="X312" s="109">
        <v>10</v>
      </c>
    </row>
    <row r="313" spans="2:24" x14ac:dyDescent="0.25">
      <c r="B313">
        <v>20102111</v>
      </c>
      <c r="C313" s="103">
        <v>967.2</v>
      </c>
      <c r="D313" s="108">
        <v>956.2</v>
      </c>
      <c r="E313" s="99">
        <v>5.13158E-4</v>
      </c>
      <c r="F313" s="99">
        <v>5.17765E-4</v>
      </c>
      <c r="G313" s="132">
        <v>5.13158E-4</v>
      </c>
      <c r="H313" s="133">
        <v>5.17765E-4</v>
      </c>
      <c r="I313" s="99">
        <v>5.13158E-4</v>
      </c>
      <c r="J313" s="133">
        <v>5.17765E-4</v>
      </c>
      <c r="K313" s="99">
        <v>5.13158E-4</v>
      </c>
      <c r="L313" s="116">
        <v>5.1265100000000004E-4</v>
      </c>
      <c r="M313" s="2">
        <v>0</v>
      </c>
      <c r="N313" s="2">
        <v>1</v>
      </c>
      <c r="O313" s="2">
        <v>10</v>
      </c>
      <c r="P313" s="126">
        <v>0</v>
      </c>
      <c r="Q313" s="106">
        <v>1</v>
      </c>
      <c r="R313" s="127">
        <v>10</v>
      </c>
      <c r="S313" s="2">
        <v>0</v>
      </c>
      <c r="T313" s="2">
        <v>1</v>
      </c>
      <c r="U313" s="127">
        <v>10</v>
      </c>
      <c r="V313" s="2">
        <v>0</v>
      </c>
      <c r="W313" s="2">
        <v>0</v>
      </c>
      <c r="X313" s="109">
        <v>10</v>
      </c>
    </row>
    <row r="314" spans="2:24" x14ac:dyDescent="0.25">
      <c r="B314">
        <v>20102207</v>
      </c>
      <c r="C314" s="103">
        <v>4380.3999999999996</v>
      </c>
      <c r="D314" s="108">
        <v>4342.5</v>
      </c>
      <c r="E314" s="99">
        <v>4.8839699999999999E-5</v>
      </c>
      <c r="F314" s="99">
        <v>6.2215E-5</v>
      </c>
      <c r="G314" s="132">
        <v>4.3257999999999998E-5</v>
      </c>
      <c r="H314" s="133">
        <v>4.3916499999999999E-5</v>
      </c>
      <c r="I314" s="99">
        <v>3.1536499999999999E-5</v>
      </c>
      <c r="J314" s="133">
        <v>3.2092799999999999E-5</v>
      </c>
      <c r="K314" s="99">
        <v>6.9770999999999997E-6</v>
      </c>
      <c r="L314" s="116">
        <v>7.3194099999999996E-6</v>
      </c>
      <c r="M314" s="2">
        <v>0</v>
      </c>
      <c r="N314" s="2">
        <v>8</v>
      </c>
      <c r="O314" s="2">
        <v>13</v>
      </c>
      <c r="P314" s="126">
        <v>0</v>
      </c>
      <c r="Q314" s="106">
        <v>2</v>
      </c>
      <c r="R314" s="127">
        <v>11</v>
      </c>
      <c r="S314" s="2">
        <v>0</v>
      </c>
      <c r="T314" s="2">
        <v>2</v>
      </c>
      <c r="U314" s="127">
        <v>9</v>
      </c>
      <c r="V314" s="2">
        <v>0</v>
      </c>
      <c r="W314" s="2">
        <v>2</v>
      </c>
      <c r="X314" s="109">
        <v>6</v>
      </c>
    </row>
    <row r="315" spans="2:24" x14ac:dyDescent="0.25">
      <c r="B315">
        <v>20102236</v>
      </c>
      <c r="C315" s="103">
        <v>927.2</v>
      </c>
      <c r="D315" s="108">
        <v>919.9</v>
      </c>
      <c r="E315" s="99">
        <v>3.0722099999999999E-4</v>
      </c>
      <c r="F315" s="99">
        <v>3.1762899999999999E-4</v>
      </c>
      <c r="G315" s="132">
        <v>3.0722099999999999E-4</v>
      </c>
      <c r="H315" s="133">
        <v>3.1762899999999999E-4</v>
      </c>
      <c r="I315" s="99">
        <v>3.0722099999999999E-4</v>
      </c>
      <c r="J315" s="133">
        <v>3.1098399999999999E-4</v>
      </c>
      <c r="K315" s="99">
        <v>2.8085000000000002E-4</v>
      </c>
      <c r="L315" s="116">
        <v>2.7908799999999998E-4</v>
      </c>
      <c r="M315" s="2">
        <v>0</v>
      </c>
      <c r="N315" s="2">
        <v>2</v>
      </c>
      <c r="O315" s="2">
        <v>10</v>
      </c>
      <c r="P315" s="126">
        <v>0</v>
      </c>
      <c r="Q315" s="106">
        <v>2</v>
      </c>
      <c r="R315" s="127">
        <v>10</v>
      </c>
      <c r="S315" s="2">
        <v>0</v>
      </c>
      <c r="T315" s="2">
        <v>1</v>
      </c>
      <c r="U315" s="127">
        <v>10</v>
      </c>
      <c r="V315" s="2">
        <v>0</v>
      </c>
      <c r="W315" s="2">
        <v>0</v>
      </c>
      <c r="X315" s="109">
        <v>7</v>
      </c>
    </row>
    <row r="316" spans="2:24" x14ac:dyDescent="0.25">
      <c r="B316">
        <v>20102251</v>
      </c>
      <c r="C316" s="103">
        <v>2077.8000000000002</v>
      </c>
      <c r="D316" s="108">
        <v>2057.3000000000002</v>
      </c>
      <c r="E316" s="99">
        <v>2.70062E-4</v>
      </c>
      <c r="F316" s="99">
        <v>2.83441E-4</v>
      </c>
      <c r="G316" s="132">
        <v>2.70062E-4</v>
      </c>
      <c r="H316" s="133">
        <v>2.7393399999999998E-4</v>
      </c>
      <c r="I316" s="99">
        <v>2.70062E-4</v>
      </c>
      <c r="J316" s="133">
        <v>2.7393399999999998E-4</v>
      </c>
      <c r="K316" s="99">
        <v>2.5358800000000001E-4</v>
      </c>
      <c r="L316" s="116">
        <v>2.5729600000000001E-4</v>
      </c>
      <c r="M316" s="2">
        <v>0</v>
      </c>
      <c r="N316" s="2">
        <v>6</v>
      </c>
      <c r="O316" s="2">
        <v>11</v>
      </c>
      <c r="P316" s="126">
        <v>0</v>
      </c>
      <c r="Q316" s="106">
        <v>2</v>
      </c>
      <c r="R316" s="127">
        <v>11</v>
      </c>
      <c r="S316" s="2">
        <v>0</v>
      </c>
      <c r="T316" s="2">
        <v>2</v>
      </c>
      <c r="U316" s="127">
        <v>11</v>
      </c>
      <c r="V316" s="2">
        <v>0</v>
      </c>
      <c r="W316" s="2">
        <v>2</v>
      </c>
      <c r="X316" s="109">
        <v>8</v>
      </c>
    </row>
    <row r="317" spans="2:24" x14ac:dyDescent="0.25">
      <c r="B317">
        <v>20102362</v>
      </c>
      <c r="C317" s="103">
        <v>3726</v>
      </c>
      <c r="D317" s="108">
        <v>3704.5</v>
      </c>
      <c r="E317" s="99">
        <v>9.4492699999999997E-5</v>
      </c>
      <c r="F317" s="99">
        <v>1.0658999999999999E-4</v>
      </c>
      <c r="G317" s="132">
        <v>8.4649799999999997E-5</v>
      </c>
      <c r="H317" s="133">
        <v>8.6129699999999996E-5</v>
      </c>
      <c r="I317" s="99">
        <v>6.5948100000000006E-5</v>
      </c>
      <c r="J317" s="133">
        <v>6.7649699999999997E-5</v>
      </c>
      <c r="K317" s="99">
        <v>4.4293499999999999E-5</v>
      </c>
      <c r="L317" s="116">
        <v>4.5869799999999999E-5</v>
      </c>
      <c r="M317" s="2">
        <v>0</v>
      </c>
      <c r="N317" s="2">
        <v>9</v>
      </c>
      <c r="O317" s="2">
        <v>12</v>
      </c>
      <c r="P317" s="126">
        <v>0</v>
      </c>
      <c r="Q317" s="106">
        <v>3</v>
      </c>
      <c r="R317" s="127">
        <v>9</v>
      </c>
      <c r="S317" s="2">
        <v>0</v>
      </c>
      <c r="T317" s="2">
        <v>3</v>
      </c>
      <c r="U317" s="127">
        <v>6</v>
      </c>
      <c r="V317" s="2">
        <v>0</v>
      </c>
      <c r="W317" s="2">
        <v>3</v>
      </c>
      <c r="X317" s="109">
        <v>3</v>
      </c>
    </row>
    <row r="318" spans="2:24" x14ac:dyDescent="0.25">
      <c r="B318">
        <v>20110104</v>
      </c>
      <c r="C318" s="103">
        <v>1305.7</v>
      </c>
      <c r="D318" s="108">
        <v>1291.0999999999999</v>
      </c>
      <c r="E318" s="99">
        <v>2.9763400000000001E-3</v>
      </c>
      <c r="F318" s="99">
        <v>2.9702700000000001E-3</v>
      </c>
      <c r="G318" s="132">
        <v>2.9763400000000001E-3</v>
      </c>
      <c r="H318" s="133">
        <v>2.9589099999999999E-3</v>
      </c>
      <c r="I318" s="99">
        <v>2.96978E-3</v>
      </c>
      <c r="J318" s="133">
        <v>2.9447000000000002E-3</v>
      </c>
      <c r="K318" s="99">
        <v>2.9482499999999999E-3</v>
      </c>
      <c r="L318" s="116">
        <v>2.9314499999999999E-3</v>
      </c>
      <c r="M318" s="2">
        <v>0</v>
      </c>
      <c r="N318" s="2">
        <v>3</v>
      </c>
      <c r="O318" s="2">
        <v>14</v>
      </c>
      <c r="P318" s="126">
        <v>0</v>
      </c>
      <c r="Q318" s="106">
        <v>0</v>
      </c>
      <c r="R318" s="127">
        <v>14</v>
      </c>
      <c r="S318" s="2">
        <v>1</v>
      </c>
      <c r="T318" s="2">
        <v>0</v>
      </c>
      <c r="U318" s="127">
        <v>12</v>
      </c>
      <c r="V318" s="2">
        <v>0</v>
      </c>
      <c r="W318" s="2">
        <v>0</v>
      </c>
      <c r="X318" s="109">
        <v>10</v>
      </c>
    </row>
    <row r="319" spans="2:24" x14ac:dyDescent="0.25">
      <c r="B319">
        <v>20110187</v>
      </c>
      <c r="C319" s="103">
        <v>3940.1</v>
      </c>
      <c r="D319" s="108">
        <v>3907.1</v>
      </c>
      <c r="E319" s="99">
        <v>2.6311200000000002E-4</v>
      </c>
      <c r="F319" s="99">
        <v>2.9349399999999999E-4</v>
      </c>
      <c r="G319" s="132">
        <v>2.18433E-4</v>
      </c>
      <c r="H319" s="133">
        <v>2.1308000000000001E-4</v>
      </c>
      <c r="I319" s="99">
        <v>2.12537E-4</v>
      </c>
      <c r="J319" s="133">
        <v>2.06197E-4</v>
      </c>
      <c r="K319" s="99">
        <v>1.9888499999999999E-4</v>
      </c>
      <c r="L319" s="116">
        <v>1.8679699999999999E-4</v>
      </c>
      <c r="M319" s="2">
        <v>2</v>
      </c>
      <c r="N319" s="2">
        <v>21</v>
      </c>
      <c r="O319" s="2">
        <v>26</v>
      </c>
      <c r="P319" s="126">
        <v>2</v>
      </c>
      <c r="Q319" s="106">
        <v>2</v>
      </c>
      <c r="R319" s="127">
        <v>14</v>
      </c>
      <c r="S319" s="2">
        <v>2</v>
      </c>
      <c r="T319" s="2">
        <v>1</v>
      </c>
      <c r="U319" s="127">
        <v>12</v>
      </c>
      <c r="V319" s="2">
        <v>3</v>
      </c>
      <c r="W319" s="2">
        <v>0</v>
      </c>
      <c r="X319" s="109">
        <v>9</v>
      </c>
    </row>
    <row r="320" spans="2:24" x14ac:dyDescent="0.25">
      <c r="B320">
        <v>20110299</v>
      </c>
      <c r="C320" s="103">
        <v>6598</v>
      </c>
      <c r="D320" s="108">
        <v>5705.6</v>
      </c>
      <c r="E320" s="99">
        <v>7.0407200000000006E-5</v>
      </c>
      <c r="F320" s="99">
        <v>8.3348699999999997E-5</v>
      </c>
      <c r="G320" s="132">
        <v>5.2064300000000002E-5</v>
      </c>
      <c r="H320" s="133">
        <v>5.5708599999999997E-5</v>
      </c>
      <c r="I320" s="99">
        <v>5.2064300000000002E-5</v>
      </c>
      <c r="J320" s="133">
        <v>5.2923200000000002E-5</v>
      </c>
      <c r="K320" s="99">
        <v>2.4086700000000001E-5</v>
      </c>
      <c r="L320" s="116">
        <v>2.5497400000000001E-5</v>
      </c>
      <c r="M320" s="2">
        <v>0</v>
      </c>
      <c r="N320" s="2">
        <v>10</v>
      </c>
      <c r="O320" s="2">
        <v>11</v>
      </c>
      <c r="P320" s="126">
        <v>0</v>
      </c>
      <c r="Q320" s="106">
        <v>2</v>
      </c>
      <c r="R320" s="127">
        <v>5</v>
      </c>
      <c r="S320" s="2">
        <v>0</v>
      </c>
      <c r="T320" s="2">
        <v>1</v>
      </c>
      <c r="U320" s="127">
        <v>5</v>
      </c>
      <c r="V320" s="2">
        <v>0</v>
      </c>
      <c r="W320" s="2">
        <v>1</v>
      </c>
      <c r="X320" s="109">
        <v>3</v>
      </c>
    </row>
    <row r="321" spans="1:24" x14ac:dyDescent="0.25">
      <c r="B321">
        <v>20110402</v>
      </c>
      <c r="C321" s="103">
        <v>824.9</v>
      </c>
      <c r="D321" s="108">
        <v>810.9</v>
      </c>
      <c r="E321" s="99">
        <v>3.4677900000000002E-4</v>
      </c>
      <c r="F321" s="99">
        <v>3.70844E-4</v>
      </c>
      <c r="G321" s="132">
        <v>3.4677900000000002E-4</v>
      </c>
      <c r="H321" s="133">
        <v>3.6632199999999998E-4</v>
      </c>
      <c r="I321" s="99">
        <v>3.4677900000000002E-4</v>
      </c>
      <c r="J321" s="133">
        <v>3.5878400000000001E-4</v>
      </c>
      <c r="K321" s="99">
        <v>3.0824800000000001E-4</v>
      </c>
      <c r="L321" s="116">
        <v>3.1657400000000002E-4</v>
      </c>
      <c r="M321" s="2">
        <v>0</v>
      </c>
      <c r="N321" s="2">
        <v>5</v>
      </c>
      <c r="O321" s="2">
        <v>9</v>
      </c>
      <c r="P321" s="126">
        <v>0</v>
      </c>
      <c r="Q321" s="106">
        <v>4</v>
      </c>
      <c r="R321" s="127">
        <v>9</v>
      </c>
      <c r="S321" s="2">
        <v>0</v>
      </c>
      <c r="T321" s="2">
        <v>3</v>
      </c>
      <c r="U321" s="127">
        <v>9</v>
      </c>
      <c r="V321" s="2">
        <v>0</v>
      </c>
      <c r="W321" s="2">
        <v>2</v>
      </c>
      <c r="X321" s="109">
        <v>6</v>
      </c>
    </row>
    <row r="322" spans="1:24" x14ac:dyDescent="0.25">
      <c r="B322">
        <v>20110602</v>
      </c>
      <c r="C322" s="103">
        <v>14523.9</v>
      </c>
      <c r="D322" s="108">
        <v>6692.4</v>
      </c>
      <c r="E322" s="99">
        <v>1.40061E-4</v>
      </c>
      <c r="F322" s="99">
        <v>1.5124999999999999E-4</v>
      </c>
      <c r="G322" s="132">
        <v>1.1077E-4</v>
      </c>
      <c r="H322" s="133">
        <v>1.01199E-4</v>
      </c>
      <c r="I322" s="99">
        <v>9.7470499999999995E-5</v>
      </c>
      <c r="J322" s="133">
        <v>8.8776999999999994E-5</v>
      </c>
      <c r="K322" s="99">
        <v>6.9693899999999994E-5</v>
      </c>
      <c r="L322" s="116">
        <v>7.5624900000000002E-5</v>
      </c>
      <c r="M322" s="2">
        <v>7</v>
      </c>
      <c r="N322" s="2">
        <v>27</v>
      </c>
      <c r="O322" s="2">
        <v>27</v>
      </c>
      <c r="P322" s="126">
        <v>1</v>
      </c>
      <c r="Q322" s="106">
        <v>2</v>
      </c>
      <c r="R322" s="127">
        <v>16</v>
      </c>
      <c r="S322" s="2">
        <v>0</v>
      </c>
      <c r="T322" s="2">
        <v>1</v>
      </c>
      <c r="U322" s="127">
        <v>14</v>
      </c>
      <c r="V322" s="2">
        <v>0</v>
      </c>
      <c r="W322" s="2">
        <v>2</v>
      </c>
      <c r="X322" s="109">
        <v>12</v>
      </c>
    </row>
    <row r="323" spans="1:24" x14ac:dyDescent="0.25">
      <c r="B323">
        <v>20110619</v>
      </c>
      <c r="C323" s="103">
        <v>896.5</v>
      </c>
      <c r="D323" s="108">
        <v>886.7</v>
      </c>
      <c r="E323" s="99">
        <v>1.7877100000000001E-3</v>
      </c>
      <c r="F323" s="99">
        <v>1.8075700000000001E-3</v>
      </c>
      <c r="G323" s="132">
        <v>1.7877100000000001E-3</v>
      </c>
      <c r="H323" s="133">
        <v>1.7993E-3</v>
      </c>
      <c r="I323" s="99">
        <v>1.7795300000000001E-3</v>
      </c>
      <c r="J323" s="133">
        <v>1.78689E-3</v>
      </c>
      <c r="K323" s="99">
        <v>1.7795300000000001E-3</v>
      </c>
      <c r="L323" s="116">
        <v>1.78689E-3</v>
      </c>
      <c r="M323" s="2">
        <v>0</v>
      </c>
      <c r="N323" s="2">
        <v>4</v>
      </c>
      <c r="O323" s="2">
        <v>20</v>
      </c>
      <c r="P323" s="126">
        <v>0</v>
      </c>
      <c r="Q323" s="106">
        <v>2</v>
      </c>
      <c r="R323" s="127">
        <v>20</v>
      </c>
      <c r="S323" s="2">
        <v>0</v>
      </c>
      <c r="T323" s="2">
        <v>1</v>
      </c>
      <c r="U323" s="127">
        <v>19</v>
      </c>
      <c r="V323" s="2">
        <v>0</v>
      </c>
      <c r="W323" s="2">
        <v>1</v>
      </c>
      <c r="X323" s="109">
        <v>19</v>
      </c>
    </row>
    <row r="324" spans="1:24" x14ac:dyDescent="0.25">
      <c r="B324">
        <v>20110891</v>
      </c>
      <c r="C324" s="103">
        <v>25499.3</v>
      </c>
      <c r="D324" s="108">
        <v>7151.1</v>
      </c>
      <c r="E324" s="99">
        <v>6.2080499999999999E-4</v>
      </c>
      <c r="F324" s="99">
        <v>5.5747499999999998E-4</v>
      </c>
      <c r="G324" s="132">
        <v>5.7530799999999996E-4</v>
      </c>
      <c r="H324" s="133">
        <v>5.1439499999999996E-4</v>
      </c>
      <c r="I324" s="99">
        <v>5.71041E-4</v>
      </c>
      <c r="J324" s="133">
        <v>5.1388200000000001E-4</v>
      </c>
      <c r="K324" s="99">
        <v>5.71041E-4</v>
      </c>
      <c r="L324" s="116">
        <v>5.1388200000000001E-4</v>
      </c>
      <c r="M324" s="2">
        <v>18</v>
      </c>
      <c r="N324" s="2">
        <v>7</v>
      </c>
      <c r="O324" s="2">
        <v>26</v>
      </c>
      <c r="P324" s="126">
        <v>3</v>
      </c>
      <c r="Q324" s="106">
        <v>1</v>
      </c>
      <c r="R324" s="127">
        <v>6</v>
      </c>
      <c r="S324" s="2">
        <v>2</v>
      </c>
      <c r="T324" s="2">
        <v>0</v>
      </c>
      <c r="U324" s="127">
        <v>6</v>
      </c>
      <c r="V324" s="2">
        <v>2</v>
      </c>
      <c r="W324" s="2">
        <v>0</v>
      </c>
      <c r="X324" s="109">
        <v>6</v>
      </c>
    </row>
    <row r="325" spans="1:24" x14ac:dyDescent="0.25">
      <c r="B325">
        <v>20111053</v>
      </c>
      <c r="C325" s="103">
        <v>1360.9</v>
      </c>
      <c r="D325" s="108">
        <v>1349.6</v>
      </c>
      <c r="E325" s="99">
        <v>9.1626599999999994E-5</v>
      </c>
      <c r="F325" s="99">
        <v>1.2590799999999999E-4</v>
      </c>
      <c r="G325" s="132">
        <v>9.1626599999999994E-5</v>
      </c>
      <c r="H325" s="133">
        <v>1.00546E-4</v>
      </c>
      <c r="I325" s="99">
        <v>9.1626599999999994E-5</v>
      </c>
      <c r="J325" s="133">
        <v>9.5110699999999997E-5</v>
      </c>
      <c r="K325" s="99">
        <v>1.16779E-5</v>
      </c>
      <c r="L325" s="116">
        <v>1.26814E-5</v>
      </c>
      <c r="M325" s="2">
        <v>0</v>
      </c>
      <c r="N325" s="2">
        <v>11</v>
      </c>
      <c r="O325" s="2">
        <v>7</v>
      </c>
      <c r="P325" s="126">
        <v>0</v>
      </c>
      <c r="Q325" s="106">
        <v>4</v>
      </c>
      <c r="R325" s="127">
        <v>7</v>
      </c>
      <c r="S325" s="2">
        <v>0</v>
      </c>
      <c r="T325" s="2">
        <v>2</v>
      </c>
      <c r="U325" s="127">
        <v>7</v>
      </c>
      <c r="V325" s="2">
        <v>0</v>
      </c>
      <c r="W325" s="2">
        <v>1</v>
      </c>
      <c r="X325" s="109">
        <v>1</v>
      </c>
    </row>
    <row r="326" spans="1:24" x14ac:dyDescent="0.25">
      <c r="B326">
        <v>20111249</v>
      </c>
      <c r="C326" s="103">
        <v>110569.8</v>
      </c>
      <c r="D326" s="108">
        <v>7684.2</v>
      </c>
      <c r="E326" s="99">
        <v>2.9247300000000002E-4</v>
      </c>
      <c r="F326" s="99">
        <v>2.3454999999999999E-3</v>
      </c>
      <c r="G326" s="132">
        <v>2.78332E-4</v>
      </c>
      <c r="H326" s="133">
        <v>2.3200400000000002E-3</v>
      </c>
      <c r="I326" s="99">
        <v>2.40342E-4</v>
      </c>
      <c r="J326" s="133">
        <v>2.2995200000000002E-3</v>
      </c>
      <c r="K326" s="99">
        <v>3.8486999999999999E-5</v>
      </c>
      <c r="L326" s="116">
        <v>2.25004E-3</v>
      </c>
      <c r="M326" s="2">
        <v>13</v>
      </c>
      <c r="N326" s="2">
        <v>3</v>
      </c>
      <c r="O326" s="2">
        <v>28</v>
      </c>
      <c r="P326" s="126">
        <v>4</v>
      </c>
      <c r="Q326" s="106">
        <v>0</v>
      </c>
      <c r="R326" s="127">
        <v>17</v>
      </c>
      <c r="S326" s="2">
        <v>4</v>
      </c>
      <c r="T326" s="2">
        <v>3</v>
      </c>
      <c r="U326" s="127">
        <v>10</v>
      </c>
      <c r="V326" s="2">
        <v>0</v>
      </c>
      <c r="W326" s="2">
        <v>7</v>
      </c>
      <c r="X326" s="109">
        <v>1</v>
      </c>
    </row>
    <row r="327" spans="1:24" x14ac:dyDescent="0.25">
      <c r="B327">
        <v>20111347</v>
      </c>
      <c r="C327" s="103">
        <v>24844.5</v>
      </c>
      <c r="D327" s="108">
        <v>7324.7</v>
      </c>
      <c r="E327" s="99">
        <v>6.7362700000000005E-5</v>
      </c>
      <c r="F327" s="99">
        <v>1.03478E-4</v>
      </c>
      <c r="G327" s="134">
        <v>9.9999999999999995E-7</v>
      </c>
      <c r="H327" s="133">
        <v>6.0251100000000003E-5</v>
      </c>
      <c r="I327" s="100">
        <v>9.9999999999999995E-7</v>
      </c>
      <c r="J327" s="133">
        <v>6.0251100000000003E-5</v>
      </c>
      <c r="K327" s="100">
        <v>9.9999999999999995E-7</v>
      </c>
      <c r="L327" s="118">
        <v>9.9999999999999995E-7</v>
      </c>
      <c r="M327" s="2">
        <v>11</v>
      </c>
      <c r="N327" s="2">
        <v>9</v>
      </c>
      <c r="O327" s="2">
        <v>27</v>
      </c>
      <c r="P327" s="126">
        <v>0</v>
      </c>
      <c r="Q327" s="106">
        <v>7</v>
      </c>
      <c r="R327" s="127">
        <v>0</v>
      </c>
      <c r="S327" s="2">
        <v>0</v>
      </c>
      <c r="T327" s="2">
        <v>7</v>
      </c>
      <c r="U327" s="127">
        <v>0</v>
      </c>
      <c r="V327" s="2">
        <v>0</v>
      </c>
      <c r="W327" s="2">
        <v>0</v>
      </c>
      <c r="X327" s="109">
        <v>0</v>
      </c>
    </row>
    <row r="328" spans="1:24" x14ac:dyDescent="0.25">
      <c r="B328">
        <v>20120568</v>
      </c>
      <c r="C328" s="103">
        <v>39489.9</v>
      </c>
      <c r="D328" s="108">
        <v>7195</v>
      </c>
      <c r="E328" s="99">
        <v>1.9162500000000002E-5</v>
      </c>
      <c r="F328" s="99">
        <v>2.6505699999999999E-5</v>
      </c>
      <c r="G328" s="132">
        <v>9.5348000000000006E-6</v>
      </c>
      <c r="H328" s="133">
        <v>2.07288E-5</v>
      </c>
      <c r="I328" s="99">
        <v>9.5348000000000006E-6</v>
      </c>
      <c r="J328" s="133">
        <v>2.07288E-5</v>
      </c>
      <c r="K328" s="99">
        <v>4.4887900000000003E-6</v>
      </c>
      <c r="L328" s="116">
        <v>1.22334E-5</v>
      </c>
      <c r="M328" s="2">
        <v>9</v>
      </c>
      <c r="N328" s="2">
        <v>3</v>
      </c>
      <c r="O328" s="2">
        <v>10</v>
      </c>
      <c r="P328" s="126">
        <v>1</v>
      </c>
      <c r="Q328" s="106">
        <v>0</v>
      </c>
      <c r="R328" s="127">
        <v>8</v>
      </c>
      <c r="S328" s="2">
        <v>1</v>
      </c>
      <c r="T328" s="2">
        <v>0</v>
      </c>
      <c r="U328" s="127">
        <v>8</v>
      </c>
      <c r="V328" s="2">
        <v>2</v>
      </c>
      <c r="W328" s="2">
        <v>0</v>
      </c>
      <c r="X328" s="109">
        <v>6</v>
      </c>
    </row>
    <row r="329" spans="1:24" x14ac:dyDescent="0.25">
      <c r="B329">
        <v>20121119</v>
      </c>
      <c r="C329" s="103">
        <v>937.1</v>
      </c>
      <c r="D329" s="108">
        <v>929.4</v>
      </c>
      <c r="E329" s="99">
        <v>1.0631600000000001E-3</v>
      </c>
      <c r="F329" s="99">
        <v>1.0969899999999999E-3</v>
      </c>
      <c r="G329" s="132">
        <v>1.0631600000000001E-3</v>
      </c>
      <c r="H329" s="133">
        <v>1.08121E-3</v>
      </c>
      <c r="I329" s="99">
        <v>1.0631600000000001E-3</v>
      </c>
      <c r="J329" s="133">
        <v>1.06937E-3</v>
      </c>
      <c r="K329" s="99">
        <v>1.0409799999999999E-3</v>
      </c>
      <c r="L329" s="116">
        <v>1.0470099999999999E-3</v>
      </c>
      <c r="M329" s="2">
        <v>0</v>
      </c>
      <c r="N329" s="2">
        <v>7</v>
      </c>
      <c r="O329" s="2">
        <v>14</v>
      </c>
      <c r="P329" s="126">
        <v>0</v>
      </c>
      <c r="Q329" s="106">
        <v>3</v>
      </c>
      <c r="R329" s="127">
        <v>14</v>
      </c>
      <c r="S329" s="2">
        <v>0</v>
      </c>
      <c r="T329" s="2">
        <v>1</v>
      </c>
      <c r="U329" s="127">
        <v>14</v>
      </c>
      <c r="V329" s="2">
        <v>0</v>
      </c>
      <c r="W329" s="2">
        <v>1</v>
      </c>
      <c r="X329" s="109">
        <v>12</v>
      </c>
    </row>
    <row r="330" spans="1:24" x14ac:dyDescent="0.25">
      <c r="A330" s="110"/>
      <c r="B330" s="110">
        <v>20121257</v>
      </c>
      <c r="C330" s="111">
        <v>2662.7</v>
      </c>
      <c r="D330" s="112">
        <v>2637.2</v>
      </c>
      <c r="E330" s="142">
        <v>5.5644199999999998E-4</v>
      </c>
      <c r="F330" s="142">
        <v>5.72501E-4</v>
      </c>
      <c r="G330" s="143">
        <v>5.5644199999999998E-4</v>
      </c>
      <c r="H330" s="144">
        <v>5.5859400000000004E-4</v>
      </c>
      <c r="I330" s="142">
        <v>5.5644199999999998E-4</v>
      </c>
      <c r="J330" s="144">
        <v>5.5859400000000004E-4</v>
      </c>
      <c r="K330" s="142">
        <v>5.2338600000000003E-4</v>
      </c>
      <c r="L330" s="145">
        <v>5.2521700000000002E-4</v>
      </c>
      <c r="M330" s="81">
        <v>0</v>
      </c>
      <c r="N330" s="81">
        <v>8</v>
      </c>
      <c r="O330" s="81">
        <v>15</v>
      </c>
      <c r="P330" s="146">
        <v>0</v>
      </c>
      <c r="Q330" s="81">
        <v>2</v>
      </c>
      <c r="R330" s="147">
        <v>15</v>
      </c>
      <c r="S330" s="81">
        <v>0</v>
      </c>
      <c r="T330" s="81">
        <v>2</v>
      </c>
      <c r="U330" s="147">
        <v>15</v>
      </c>
      <c r="V330" s="81">
        <v>0</v>
      </c>
      <c r="W330" s="81">
        <v>2</v>
      </c>
      <c r="X330" s="148">
        <v>11</v>
      </c>
    </row>
  </sheetData>
  <sheetProtection algorithmName="SHA-512" hashValue="08dLTnRC8m/k/B7EiN5qxRCQpAD12nwG+6jurHW9kp7jC+JgWkrys5uZT1ECY2v8qn/CODz/lgbZfl/B2IFQ+w==" saltValue="gpu/yFPaN0qFxexM8hMbQg==" spinCount="100000" sheet="1" objects="1" scenarios="1" formatCells="0" formatColumns="0" formatRows="0"/>
  <mergeCells count="12">
    <mergeCell ref="S10:U10"/>
    <mergeCell ref="V10:X10"/>
    <mergeCell ref="C9:D9"/>
    <mergeCell ref="E9:L9"/>
    <mergeCell ref="M9:X9"/>
    <mergeCell ref="C10:D10"/>
    <mergeCell ref="E10:F10"/>
    <mergeCell ref="G10:H10"/>
    <mergeCell ref="I10:J10"/>
    <mergeCell ref="K10:L10"/>
    <mergeCell ref="M10:O10"/>
    <mergeCell ref="P10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</vt:lpstr>
      <vt:lpstr>SH1N1-samples</vt:lpstr>
      <vt:lpstr>sH1N1-run-data</vt:lpstr>
      <vt:lpstr>sH1N1-values</vt:lpstr>
      <vt:lpstr>sH3N2-samples</vt:lpstr>
      <vt:lpstr>sH3N2-run-data</vt:lpstr>
      <vt:lpstr>sH3N2-values</vt:lpstr>
      <vt:lpstr>pH1N1-samples</vt:lpstr>
      <vt:lpstr>pH1N1-run-data</vt:lpstr>
      <vt:lpstr>pH1N1-values</vt:lpstr>
    </vt:vector>
  </TitlesOfParts>
  <Company>Institut Pasteur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admsig</dc:creator>
  <cp:lastModifiedBy>Barbezange, Cyril</cp:lastModifiedBy>
  <dcterms:created xsi:type="dcterms:W3CDTF">2015-08-12T12:13:51Z</dcterms:created>
  <dcterms:modified xsi:type="dcterms:W3CDTF">2018-08-04T11:28:15Z</dcterms:modified>
</cp:coreProperties>
</file>